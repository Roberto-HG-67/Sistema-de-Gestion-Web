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Desktop\Pagina Web\Excel\"/>
    </mc:Choice>
  </mc:AlternateContent>
  <xr:revisionPtr revIDLastSave="0" documentId="13_ncr:1_{CF23DFC9-0755-4958-B883-3216128D0453}" xr6:coauthVersionLast="47" xr6:coauthVersionMax="47" xr10:uidLastSave="{00000000-0000-0000-0000-000000000000}"/>
  <bookViews>
    <workbookView xWindow="-120" yWindow="-120" windowWidth="29040" windowHeight="15720" xr2:uid="{D3C279E9-DA41-499F-9910-FDECA2D47314}"/>
  </bookViews>
  <sheets>
    <sheet name="PROVE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8" i="1"/>
  <c r="E23" i="1"/>
  <c r="E7" i="1"/>
  <c r="E4" i="1"/>
</calcChain>
</file>

<file path=xl/sharedStrings.xml><?xml version="1.0" encoding="utf-8"?>
<sst xmlns="http://schemas.openxmlformats.org/spreadsheetml/2006/main" count="112" uniqueCount="106">
  <si>
    <t>RUT</t>
  </si>
  <si>
    <t>NOMBRE</t>
  </si>
  <si>
    <t>DÍAS DE PAGO</t>
  </si>
  <si>
    <t>COLUN</t>
  </si>
  <si>
    <t>PAHUILMO</t>
  </si>
  <si>
    <t>CHILE CALIDAD</t>
  </si>
  <si>
    <t>ALIACE</t>
  </si>
  <si>
    <t>ALCA SPA</t>
  </si>
  <si>
    <t>LEAD TIME</t>
  </si>
  <si>
    <t>RAZÓN SOCIAL</t>
  </si>
  <si>
    <t>COOPERATIVA AGRICOLA Y LECHERA DE LA UNION LTDA.</t>
  </si>
  <si>
    <t>AGROCOMERCIAL CODIGUA SPA</t>
  </si>
  <si>
    <t>FUNDO SANTA ANA SPA</t>
  </si>
  <si>
    <t>COMERCIALIZADORA JAGIPACK SPA</t>
  </si>
  <si>
    <t>COMERCIALIZADORA GAG CHILE SPA</t>
  </si>
  <si>
    <t>FBS FOOD &amp; BEVERAGE SUPPLY SPA</t>
  </si>
  <si>
    <t>CHILE CALIDAD EXPORTADORA E IMPORTADORA LIMITADA</t>
  </si>
  <si>
    <t>QUILLAYES SURLAT COMERCIAL SPA</t>
  </si>
  <si>
    <t>IMPORTADORA Y ALIMENTOS ICB FOOD SERVICE SPA</t>
  </si>
  <si>
    <t>DISTRIBUIDORA Y COMERCIALIZADORA RODENBERG SPA</t>
  </si>
  <si>
    <t>INVERSIONES SOCOAL S.A.</t>
  </si>
  <si>
    <t>ELCOR CL SPA</t>
  </si>
  <si>
    <t>ELCOR</t>
  </si>
  <si>
    <t>ALIMENTOS Y ACEITES SPA</t>
  </si>
  <si>
    <t>RIO CRUCES</t>
  </si>
  <si>
    <t>LACTEOS Y ALIMENTOS RIO CRUCES LIMITADA</t>
  </si>
  <si>
    <t>SANTA ROSA</t>
  </si>
  <si>
    <t>SANTA ROSA CHILE ALIMENTOS LIMITADA</t>
  </si>
  <si>
    <t>EMPRESAS CAROZZI S.A.</t>
  </si>
  <si>
    <t>CAROZZI</t>
  </si>
  <si>
    <t>DISTRIBUIDORA J A LIMITADA</t>
  </si>
  <si>
    <t>SOCOAL</t>
  </si>
  <si>
    <t>JA</t>
  </si>
  <si>
    <t>FBS</t>
  </si>
  <si>
    <t>CODIGUA</t>
  </si>
  <si>
    <t>PORVENIR</t>
  </si>
  <si>
    <t>QUILACOYA</t>
  </si>
  <si>
    <t>QUILACOYA SPA</t>
  </si>
  <si>
    <t>AGROLAC SPA</t>
  </si>
  <si>
    <t>HAITÍ</t>
  </si>
  <si>
    <t>GAG</t>
  </si>
  <si>
    <t>RODENBERG</t>
  </si>
  <si>
    <t>JAGIPACK</t>
  </si>
  <si>
    <t>MACNO</t>
  </si>
  <si>
    <t>FO</t>
  </si>
  <si>
    <t>COHESA</t>
  </si>
  <si>
    <t>PROMERCO</t>
  </si>
  <si>
    <t>ALISUR</t>
  </si>
  <si>
    <t>AGRICOVIAL</t>
  </si>
  <si>
    <t>BOBA</t>
  </si>
  <si>
    <t>BY MARIA</t>
  </si>
  <si>
    <t>ICB</t>
  </si>
  <si>
    <t>QUILLAYES</t>
  </si>
  <si>
    <t>RAFULCO</t>
  </si>
  <si>
    <t>SANTA ANA</t>
  </si>
  <si>
    <t>AGRICOLA LA MARTINA LIMITADA</t>
  </si>
  <si>
    <t>ALIMENTOS BOBA LIMITADA</t>
  </si>
  <si>
    <t>LFC</t>
  </si>
  <si>
    <t>COMER Y BEBER S A</t>
  </si>
  <si>
    <t>COMERCIAL PAILLAHUE SPAC</t>
  </si>
  <si>
    <t>COMERCIALIZADORA DEL CARIBE LTDA.</t>
  </si>
  <si>
    <t>CARIBE</t>
  </si>
  <si>
    <t>BY MARIA CONSERVAS SPA</t>
  </si>
  <si>
    <t>COMERCIALIZADORA MACNO SPA</t>
  </si>
  <si>
    <t xml:space="preserve">	COHESA SPA</t>
  </si>
  <si>
    <t>AGROLAC</t>
  </si>
  <si>
    <t>PROMERCO S.A.</t>
  </si>
  <si>
    <t>AL DÍA</t>
  </si>
  <si>
    <t>76.067.780-9</t>
  </si>
  <si>
    <t>76.072.890-K</t>
  </si>
  <si>
    <t>76.110.044-0</t>
  </si>
  <si>
    <t>76.157.018-8</t>
  </si>
  <si>
    <t>76.192.511-3</t>
  </si>
  <si>
    <t>76.217.386-7</t>
  </si>
  <si>
    <t>76.270.374-2</t>
  </si>
  <si>
    <t>76.371.495-0</t>
  </si>
  <si>
    <t>76.377.162-8</t>
  </si>
  <si>
    <t>76.505.808-2</t>
  </si>
  <si>
    <t>76.517.784-7</t>
  </si>
  <si>
    <t>76.535.174-K</t>
  </si>
  <si>
    <t>76.763.894-9</t>
  </si>
  <si>
    <t>76.872.302-8</t>
  </si>
  <si>
    <t>77.191.149-8</t>
  </si>
  <si>
    <t>77.225.566-7</t>
  </si>
  <si>
    <t>77.436.697-0</t>
  </si>
  <si>
    <t>77.437.386-1</t>
  </si>
  <si>
    <t>77.471.270-4</t>
  </si>
  <si>
    <t>77.576.123-7</t>
  </si>
  <si>
    <t>77.580.630-3</t>
  </si>
  <si>
    <t>77.862.622-5</t>
  </si>
  <si>
    <t>77.927.507-8</t>
  </si>
  <si>
    <t>77.934.110-0</t>
  </si>
  <si>
    <t>77.965.620-9</t>
  </si>
  <si>
    <t>78.201.440-4</t>
  </si>
  <si>
    <t>78.25.1590-K</t>
  </si>
  <si>
    <t>78.375.860-1</t>
  </si>
  <si>
    <t>78.627.340-4</t>
  </si>
  <si>
    <t>79.684.790-5</t>
  </si>
  <si>
    <t>81.094.100-6</t>
  </si>
  <si>
    <t>96.591.040-9</t>
  </si>
  <si>
    <t>96.911.160-8</t>
  </si>
  <si>
    <t>96.954.210-2</t>
  </si>
  <si>
    <t>TRANSFERENCIA</t>
  </si>
  <si>
    <t>CINTA AZUL</t>
  </si>
  <si>
    <t>78.383.730-7</t>
  </si>
  <si>
    <t>AVICOLA Y COMERCIAL EL TOCO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</si>
</sst>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85E2B6-270F-4956-B1EB-448EB5C391BE}" name="Tabla1" displayName="Tabla1" ref="A1:E36" totalsRowShown="0" headerRowDxfId="4" dataDxfId="3">
  <autoFilter ref="A1:E36" xr:uid="{D185E2B6-270F-4956-B1EB-448EB5C391BE}"/>
  <sortState xmlns:xlrd2="http://schemas.microsoft.com/office/spreadsheetml/2017/richdata2" ref="A2:E35">
    <sortCondition ref="A1:A35"/>
  </sortState>
  <tableColumns count="5">
    <tableColumn id="1" xr3:uid="{A04CF92A-B95C-421A-B357-4E108F59332F}" name="RUT" dataDxfId="2"/>
    <tableColumn id="2" xr3:uid="{50D685A8-74A3-4EA3-8C34-87CACBE55B62}" name="NOMBRE"/>
    <tableColumn id="3" xr3:uid="{BC4F628F-2B0B-4679-B4BE-A901FA2BE829}" name="DÍAS DE PAGO" dataDxfId="1"/>
    <tableColumn id="4" xr3:uid="{71F20D76-B50B-4099-A07E-BFF13C5C1F0C}" name="LEAD TIME" dataDxfId="0"/>
    <tableColumn id="5" xr3:uid="{507E7B2E-9958-4793-AD46-51816A17765D}" name="RAZÓN SOCIAL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2B06B-5DEB-4D42-BD22-A45AD8DDC83C}">
  <dimension ref="A1:E36"/>
  <sheetViews>
    <sheetView tabSelected="1" topLeftCell="A4" workbookViewId="0">
      <selection activeCell="E36" sqref="E36"/>
    </sheetView>
  </sheetViews>
  <sheetFormatPr baseColWidth="10" defaultRowHeight="15" x14ac:dyDescent="0.25"/>
  <cols>
    <col min="2" max="2" width="17.85546875" bestFit="1" customWidth="1"/>
    <col min="3" max="3" width="16" customWidth="1"/>
    <col min="4" max="4" width="12.5703125" customWidth="1"/>
    <col min="5" max="5" width="51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</row>
    <row r="2" spans="1:5" x14ac:dyDescent="0.25">
      <c r="A2" s="1" t="s">
        <v>68</v>
      </c>
      <c r="B2" t="s">
        <v>53</v>
      </c>
      <c r="C2" s="1"/>
      <c r="D2" s="1">
        <v>2</v>
      </c>
      <c r="E2" t="s">
        <v>59</v>
      </c>
    </row>
    <row r="3" spans="1:5" x14ac:dyDescent="0.25">
      <c r="A3" s="1" t="s">
        <v>69</v>
      </c>
      <c r="B3" t="s">
        <v>5</v>
      </c>
      <c r="C3" s="1">
        <v>45</v>
      </c>
      <c r="D3" s="1">
        <v>2</v>
      </c>
      <c r="E3" t="s">
        <v>16</v>
      </c>
    </row>
    <row r="4" spans="1:5" x14ac:dyDescent="0.25">
      <c r="A4" s="1" t="s">
        <v>70</v>
      </c>
      <c r="B4" t="s">
        <v>47</v>
      </c>
      <c r="C4" s="1">
        <v>30</v>
      </c>
      <c r="D4" s="1">
        <v>2</v>
      </c>
      <c r="E4" t="str">
        <f>UPPER("Comercial Alisur Limitada")</f>
        <v>COMERCIAL ALISUR LIMITADA</v>
      </c>
    </row>
    <row r="5" spans="1:5" x14ac:dyDescent="0.25">
      <c r="A5" s="1" t="s">
        <v>71</v>
      </c>
      <c r="B5" t="s">
        <v>40</v>
      </c>
      <c r="C5" s="1">
        <v>30</v>
      </c>
      <c r="D5" s="1">
        <v>2</v>
      </c>
      <c r="E5" t="s">
        <v>14</v>
      </c>
    </row>
    <row r="6" spans="1:5" x14ac:dyDescent="0.25">
      <c r="A6" s="1" t="s">
        <v>72</v>
      </c>
      <c r="B6" t="s">
        <v>61</v>
      </c>
      <c r="C6" s="1" t="s">
        <v>102</v>
      </c>
      <c r="D6" s="1">
        <v>2</v>
      </c>
      <c r="E6" t="s">
        <v>60</v>
      </c>
    </row>
    <row r="7" spans="1:5" x14ac:dyDescent="0.25">
      <c r="A7" s="1" t="s">
        <v>73</v>
      </c>
      <c r="B7" t="s">
        <v>35</v>
      </c>
      <c r="C7" s="1">
        <v>30</v>
      </c>
      <c r="D7" s="1">
        <v>2</v>
      </c>
      <c r="E7" t="str">
        <f>UPPER("Comercial Porvenir SpA")</f>
        <v>COMERCIAL PORVENIR SPA</v>
      </c>
    </row>
    <row r="8" spans="1:5" x14ac:dyDescent="0.25">
      <c r="A8" s="1" t="s">
        <v>74</v>
      </c>
      <c r="B8" t="s">
        <v>33</v>
      </c>
      <c r="C8" s="1">
        <v>30</v>
      </c>
      <c r="D8" s="1">
        <v>2</v>
      </c>
      <c r="E8" t="s">
        <v>15</v>
      </c>
    </row>
    <row r="9" spans="1:5" x14ac:dyDescent="0.25">
      <c r="A9" s="1" t="s">
        <v>75</v>
      </c>
      <c r="B9" t="s">
        <v>50</v>
      </c>
      <c r="C9" s="1" t="s">
        <v>102</v>
      </c>
      <c r="D9" s="1">
        <v>2</v>
      </c>
      <c r="E9" t="s">
        <v>62</v>
      </c>
    </row>
    <row r="10" spans="1:5" x14ac:dyDescent="0.25">
      <c r="A10" s="1" t="s">
        <v>76</v>
      </c>
      <c r="B10" t="s">
        <v>49</v>
      </c>
      <c r="C10" s="1" t="s">
        <v>102</v>
      </c>
      <c r="D10" s="1">
        <v>2</v>
      </c>
      <c r="E10" t="s">
        <v>56</v>
      </c>
    </row>
    <row r="11" spans="1:5" x14ac:dyDescent="0.25">
      <c r="A11" s="1" t="s">
        <v>77</v>
      </c>
      <c r="B11" t="s">
        <v>6</v>
      </c>
      <c r="C11" s="1">
        <v>30</v>
      </c>
      <c r="D11" s="1">
        <v>2</v>
      </c>
      <c r="E11" t="s">
        <v>23</v>
      </c>
    </row>
    <row r="12" spans="1:5" x14ac:dyDescent="0.25">
      <c r="A12" s="1" t="s">
        <v>78</v>
      </c>
      <c r="B12" t="s">
        <v>41</v>
      </c>
      <c r="C12" s="1" t="s">
        <v>67</v>
      </c>
      <c r="D12" s="1">
        <v>2</v>
      </c>
      <c r="E12" t="s">
        <v>19</v>
      </c>
    </row>
    <row r="13" spans="1:5" x14ac:dyDescent="0.25">
      <c r="A13" s="1" t="s">
        <v>79</v>
      </c>
      <c r="B13" t="s">
        <v>36</v>
      </c>
      <c r="C13" s="1" t="s">
        <v>67</v>
      </c>
      <c r="D13" s="1">
        <v>2</v>
      </c>
      <c r="E13" t="s">
        <v>37</v>
      </c>
    </row>
    <row r="14" spans="1:5" x14ac:dyDescent="0.25">
      <c r="A14" s="1" t="s">
        <v>80</v>
      </c>
      <c r="B14" t="s">
        <v>65</v>
      </c>
      <c r="C14" s="1">
        <v>30</v>
      </c>
      <c r="D14" s="1">
        <v>2</v>
      </c>
      <c r="E14" t="s">
        <v>38</v>
      </c>
    </row>
    <row r="15" spans="1:5" x14ac:dyDescent="0.25">
      <c r="A15" s="1" t="s">
        <v>81</v>
      </c>
      <c r="B15" t="s">
        <v>39</v>
      </c>
      <c r="C15" s="1" t="s">
        <v>102</v>
      </c>
      <c r="D15" s="1">
        <v>2</v>
      </c>
      <c r="E15" t="str">
        <f>UPPER("Comercializadora E Importadora Haiti Spa")</f>
        <v>COMERCIALIZADORA E IMPORTADORA HAITI SPA</v>
      </c>
    </row>
    <row r="16" spans="1:5" x14ac:dyDescent="0.25">
      <c r="A16" s="1" t="s">
        <v>82</v>
      </c>
      <c r="B16" t="s">
        <v>54</v>
      </c>
      <c r="C16" s="1">
        <v>30</v>
      </c>
      <c r="D16" s="1">
        <v>2</v>
      </c>
      <c r="E16" t="s">
        <v>12</v>
      </c>
    </row>
    <row r="17" spans="1:5" x14ac:dyDescent="0.25">
      <c r="A17" s="1" t="s">
        <v>83</v>
      </c>
      <c r="B17" t="s">
        <v>43</v>
      </c>
      <c r="C17" s="1">
        <v>7</v>
      </c>
      <c r="D17" s="1">
        <v>0</v>
      </c>
      <c r="E17" t="s">
        <v>63</v>
      </c>
    </row>
    <row r="18" spans="1:5" x14ac:dyDescent="0.25">
      <c r="A18" s="1" t="s">
        <v>84</v>
      </c>
      <c r="B18" t="s">
        <v>44</v>
      </c>
      <c r="C18" s="1">
        <v>1</v>
      </c>
      <c r="D18" s="1">
        <v>2</v>
      </c>
      <c r="E18" t="str">
        <f>UPPER("Marea Dulce spa")</f>
        <v>MAREA DULCE SPA</v>
      </c>
    </row>
    <row r="19" spans="1:5" x14ac:dyDescent="0.25">
      <c r="A19" s="1" t="s">
        <v>85</v>
      </c>
      <c r="B19" t="s">
        <v>42</v>
      </c>
      <c r="C19" s="1">
        <v>15</v>
      </c>
      <c r="D19" s="1">
        <v>2</v>
      </c>
      <c r="E19" t="s">
        <v>13</v>
      </c>
    </row>
    <row r="20" spans="1:5" x14ac:dyDescent="0.25">
      <c r="A20" s="1" t="s">
        <v>86</v>
      </c>
      <c r="B20" t="s">
        <v>34</v>
      </c>
      <c r="C20" s="1">
        <v>45</v>
      </c>
      <c r="D20" s="1">
        <v>2</v>
      </c>
      <c r="E20" t="s">
        <v>11</v>
      </c>
    </row>
    <row r="21" spans="1:5" x14ac:dyDescent="0.25">
      <c r="A21" s="1" t="s">
        <v>87</v>
      </c>
      <c r="B21" t="s">
        <v>22</v>
      </c>
      <c r="C21" s="1">
        <v>30</v>
      </c>
      <c r="D21" s="1">
        <v>2</v>
      </c>
      <c r="E21" t="s">
        <v>21</v>
      </c>
    </row>
    <row r="22" spans="1:5" x14ac:dyDescent="0.25">
      <c r="A22" s="1" t="s">
        <v>88</v>
      </c>
      <c r="B22" t="s">
        <v>32</v>
      </c>
      <c r="C22" s="1">
        <v>30</v>
      </c>
      <c r="D22" s="1">
        <v>2</v>
      </c>
      <c r="E22" t="s">
        <v>30</v>
      </c>
    </row>
    <row r="23" spans="1:5" x14ac:dyDescent="0.25">
      <c r="A23" s="1" t="s">
        <v>89</v>
      </c>
      <c r="B23" t="s">
        <v>57</v>
      </c>
      <c r="C23" s="1">
        <v>15</v>
      </c>
      <c r="D23" s="1">
        <v>2</v>
      </c>
      <c r="E23" t="str">
        <f>UPPER("Inversiones LFC spa")</f>
        <v>INVERSIONES LFC SPA</v>
      </c>
    </row>
    <row r="24" spans="1:5" x14ac:dyDescent="0.25">
      <c r="A24" s="1" t="s">
        <v>90</v>
      </c>
      <c r="B24" t="s">
        <v>45</v>
      </c>
      <c r="C24" s="1">
        <v>1</v>
      </c>
      <c r="D24" s="1">
        <v>2</v>
      </c>
      <c r="E24" t="s">
        <v>64</v>
      </c>
    </row>
    <row r="25" spans="1:5" x14ac:dyDescent="0.25">
      <c r="A25" s="1" t="s">
        <v>91</v>
      </c>
      <c r="B25" t="s">
        <v>7</v>
      </c>
      <c r="C25" s="1">
        <v>30</v>
      </c>
      <c r="D25" s="1">
        <v>2</v>
      </c>
      <c r="E25" t="s">
        <v>7</v>
      </c>
    </row>
    <row r="26" spans="1:5" x14ac:dyDescent="0.25">
      <c r="A26" s="1" t="s">
        <v>92</v>
      </c>
      <c r="B26" t="s">
        <v>51</v>
      </c>
      <c r="C26" s="1">
        <v>60</v>
      </c>
      <c r="D26" s="1">
        <v>2</v>
      </c>
      <c r="E26" t="s">
        <v>18</v>
      </c>
    </row>
    <row r="27" spans="1:5" x14ac:dyDescent="0.25">
      <c r="A27" s="1" t="s">
        <v>93</v>
      </c>
      <c r="B27" t="s">
        <v>4</v>
      </c>
      <c r="C27" s="1">
        <v>30</v>
      </c>
      <c r="D27" s="1">
        <v>2</v>
      </c>
      <c r="E27" t="s">
        <v>55</v>
      </c>
    </row>
    <row r="28" spans="1:5" x14ac:dyDescent="0.25">
      <c r="A28" s="1" t="s">
        <v>94</v>
      </c>
      <c r="B28" t="s">
        <v>24</v>
      </c>
      <c r="C28" s="1">
        <v>30</v>
      </c>
      <c r="D28" s="1">
        <v>2</v>
      </c>
      <c r="E28" t="s">
        <v>25</v>
      </c>
    </row>
    <row r="29" spans="1:5" x14ac:dyDescent="0.25">
      <c r="A29" s="1" t="s">
        <v>95</v>
      </c>
      <c r="B29" t="s">
        <v>31</v>
      </c>
      <c r="C29" s="1">
        <v>30</v>
      </c>
      <c r="D29" s="1">
        <v>2</v>
      </c>
      <c r="E29" t="s">
        <v>20</v>
      </c>
    </row>
    <row r="30" spans="1:5" x14ac:dyDescent="0.25">
      <c r="A30" s="1" t="s">
        <v>96</v>
      </c>
      <c r="B30" t="s">
        <v>26</v>
      </c>
      <c r="C30" s="1">
        <v>30</v>
      </c>
      <c r="D30" s="1">
        <v>2</v>
      </c>
      <c r="E30" t="s">
        <v>27</v>
      </c>
    </row>
    <row r="31" spans="1:5" x14ac:dyDescent="0.25">
      <c r="A31" s="1" t="s">
        <v>97</v>
      </c>
      <c r="B31" t="s">
        <v>46</v>
      </c>
      <c r="C31" s="1">
        <v>30</v>
      </c>
      <c r="D31" s="1">
        <v>2</v>
      </c>
      <c r="E31" t="s">
        <v>66</v>
      </c>
    </row>
    <row r="32" spans="1:5" x14ac:dyDescent="0.25">
      <c r="A32" s="1" t="s">
        <v>98</v>
      </c>
      <c r="B32" t="s">
        <v>3</v>
      </c>
      <c r="C32" s="1">
        <v>30</v>
      </c>
      <c r="D32" s="1">
        <v>2</v>
      </c>
      <c r="E32" t="s">
        <v>10</v>
      </c>
    </row>
    <row r="33" spans="1:5" x14ac:dyDescent="0.25">
      <c r="A33" s="1" t="s">
        <v>99</v>
      </c>
      <c r="B33" t="s">
        <v>29</v>
      </c>
      <c r="C33" s="1">
        <v>2</v>
      </c>
      <c r="D33" s="1">
        <v>2</v>
      </c>
      <c r="E33" t="s">
        <v>28</v>
      </c>
    </row>
    <row r="34" spans="1:5" x14ac:dyDescent="0.25">
      <c r="A34" s="1" t="s">
        <v>100</v>
      </c>
      <c r="B34" t="s">
        <v>48</v>
      </c>
      <c r="C34" s="1">
        <v>15</v>
      </c>
      <c r="D34" s="1">
        <v>2</v>
      </c>
      <c r="E34" t="s">
        <v>58</v>
      </c>
    </row>
    <row r="35" spans="1:5" x14ac:dyDescent="0.25">
      <c r="A35" s="1" t="s">
        <v>101</v>
      </c>
      <c r="B35" t="s">
        <v>52</v>
      </c>
      <c r="C35" s="1">
        <v>30</v>
      </c>
      <c r="D35" s="1">
        <v>2</v>
      </c>
      <c r="E35" t="s">
        <v>17</v>
      </c>
    </row>
    <row r="36" spans="1:5" x14ac:dyDescent="0.25">
      <c r="A36" s="1" t="s">
        <v>104</v>
      </c>
      <c r="B36" t="s">
        <v>103</v>
      </c>
      <c r="C36" s="1" t="s">
        <v>102</v>
      </c>
      <c r="D36" s="1">
        <v>1</v>
      </c>
      <c r="E36" t="s">
        <v>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Hernández</dc:creator>
  <cp:lastModifiedBy>Roberto Hernández</cp:lastModifiedBy>
  <dcterms:created xsi:type="dcterms:W3CDTF">2026-01-22T12:12:03Z</dcterms:created>
  <dcterms:modified xsi:type="dcterms:W3CDTF">2026-02-12T14:00:12Z</dcterms:modified>
</cp:coreProperties>
</file>