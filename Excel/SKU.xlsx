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tom\OneDrive\Desktop\Sistema de Gestion Web\Excel\"/>
    </mc:Choice>
  </mc:AlternateContent>
  <xr:revisionPtr revIDLastSave="0" documentId="13_ncr:1_{6BAD11BA-9EE3-4B43-BD21-BA4ADF128CB6}" xr6:coauthVersionLast="47" xr6:coauthVersionMax="47" xr10:uidLastSave="{00000000-0000-0000-0000-000000000000}"/>
  <bookViews>
    <workbookView xWindow="-120" yWindow="-120" windowWidth="29040" windowHeight="15720" xr2:uid="{4D3A138C-0F3B-42DA-8783-DDF96963250C}"/>
  </bookViews>
  <sheets>
    <sheet name="SKU_MAESTRO" sheetId="2" r:id="rId1"/>
  </sheets>
  <definedNames>
    <definedName name="_xlnm._FilterDatabase" localSheetId="0" hidden="1">SKU_MAESTRO!$A$1:$G$232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2" i="2" l="1" a="1"/>
  <c r="C232" i="2" s="1"/>
  <c r="D232" i="2" a="1"/>
  <c r="D232" i="2" s="1"/>
  <c r="G232" i="2" a="1"/>
  <c r="G232" i="2" s="1"/>
  <c r="N232" i="2"/>
  <c r="C10" i="2" a="1"/>
  <c r="C10" i="2" s="1"/>
  <c r="C72" i="2" a="1"/>
  <c r="C72" i="2" s="1"/>
  <c r="D72" i="2" a="1"/>
  <c r="D72" i="2" s="1"/>
  <c r="N7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9" i="2"/>
  <c r="N220" i="2"/>
  <c r="N221" i="2"/>
  <c r="N222" i="2"/>
  <c r="N224" i="2"/>
  <c r="N225" i="2"/>
  <c r="N226" i="2"/>
  <c r="N227" i="2"/>
  <c r="N228" i="2"/>
  <c r="N229" i="2"/>
  <c r="N230" i="2"/>
  <c r="N231" i="2"/>
  <c r="N218" i="2"/>
  <c r="N223" i="2"/>
  <c r="D223" i="2" a="1"/>
  <c r="D223" i="2" s="1"/>
  <c r="C223" i="2" a="1"/>
  <c r="C223" i="2" s="1"/>
  <c r="C218" i="2" a="1"/>
  <c r="C218" i="2" s="1"/>
  <c r="D218" i="2" a="1"/>
  <c r="D218" i="2" s="1"/>
  <c r="C113" i="2" l="1" a="1"/>
  <c r="C113" i="2" s="1"/>
  <c r="D113" i="2" a="1"/>
  <c r="D113" i="2" s="1"/>
  <c r="D2" i="2" l="1" a="1"/>
  <c r="D2" i="2" s="1"/>
  <c r="D10" i="2" a="1"/>
  <c r="D10" i="2" s="1"/>
  <c r="D11" i="2" a="1"/>
  <c r="D11" i="2" s="1"/>
  <c r="D12" i="2" a="1"/>
  <c r="D12" i="2" s="1"/>
  <c r="D49" i="2" a="1"/>
  <c r="D49" i="2" s="1"/>
  <c r="D60" i="2" a="1"/>
  <c r="D60" i="2" s="1"/>
  <c r="D68" i="2" a="1"/>
  <c r="D68" i="2" s="1"/>
  <c r="D118" i="2" a="1"/>
  <c r="D118" i="2" s="1"/>
  <c r="D170" i="2" a="1"/>
  <c r="D170" i="2" s="1"/>
  <c r="D171" i="2" a="1"/>
  <c r="D171" i="2" s="1"/>
  <c r="D217" i="2" a="1"/>
  <c r="D217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9" i="2" a="1"/>
  <c r="D69" i="2" s="1"/>
  <c r="D70" i="2" a="1"/>
  <c r="D70" i="2" s="1"/>
  <c r="D71" i="2" a="1"/>
  <c r="D71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4" i="2" a="1"/>
  <c r="D114" i="2" s="1"/>
  <c r="D115" i="2" a="1"/>
  <c r="D115" i="2" s="1"/>
  <c r="D116" i="2" a="1"/>
  <c r="D116" i="2" s="1"/>
  <c r="D117" i="2" a="1"/>
  <c r="D117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20" i="2" a="1"/>
  <c r="D220" i="2" s="1"/>
  <c r="D221" i="2" a="1"/>
  <c r="D221" i="2" s="1"/>
  <c r="D222" i="2" a="1"/>
  <c r="D222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C2" i="2" a="1"/>
  <c r="C2" i="2" s="1"/>
  <c r="C11" i="2" a="1"/>
  <c r="C11" i="2" s="1"/>
  <c r="C12" i="2" a="1"/>
  <c r="C12" i="2" s="1"/>
  <c r="C49" i="2" a="1"/>
  <c r="C49" i="2" s="1"/>
  <c r="C60" i="2" a="1"/>
  <c r="C60" i="2" s="1"/>
  <c r="C68" i="2" a="1"/>
  <c r="C68" i="2" s="1"/>
  <c r="C118" i="2" a="1"/>
  <c r="C118" i="2" s="1"/>
  <c r="C170" i="2" a="1"/>
  <c r="C170" i="2" s="1"/>
  <c r="C171" i="2" a="1"/>
  <c r="C171" i="2" s="1"/>
  <c r="C217" i="2" a="1"/>
  <c r="C217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9" i="2" a="1"/>
  <c r="C69" i="2" s="1"/>
  <c r="C70" i="2" a="1"/>
  <c r="C70" i="2" s="1"/>
  <c r="C71" i="2" a="1"/>
  <c r="C71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4" i="2" a="1"/>
  <c r="C114" i="2" s="1"/>
  <c r="C115" i="2" a="1"/>
  <c r="C115" i="2" s="1"/>
  <c r="C116" i="2" a="1"/>
  <c r="C116" i="2" s="1"/>
  <c r="C117" i="2" a="1"/>
  <c r="C117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 s="1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20" i="2" a="1"/>
  <c r="C220" i="2" s="1"/>
  <c r="C221" i="2" a="1"/>
  <c r="C221" i="2" s="1"/>
  <c r="C222" i="2" a="1"/>
  <c r="C222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G71" i="2" l="1" a="1"/>
  <c r="G71" i="2" s="1"/>
  <c r="B219" i="2"/>
  <c r="C219" i="2" l="1" a="1"/>
  <c r="C219" i="2" s="1"/>
  <c r="D219" i="2" a="1"/>
  <c r="D219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<sst xmlns="http://schemas.openxmlformats.org/spreadsheetml/2006/main" count="788" uniqueCount="300">
  <si>
    <t>ACEITE DE OLIVA SECRETO DEL FRAILE BIDON 3 LITROS</t>
  </si>
  <si>
    <t>QUESO MOZZARELLA MOLFINO BARRA 3,5 KG (6 UNIDADES POR CAJA)</t>
  </si>
  <si>
    <t>ACEITE PARA FREIR MARAVILLA LAGRIMAS DE SOL 5 LTS. (4 BIDONES POR CAJA)</t>
  </si>
  <si>
    <t>ACEITE DE OLIVA SECRETO DEL FRAILE BIDON 5 LITROS</t>
  </si>
  <si>
    <t>ACEITE DE OLIVA SECRETO DEL FRAILE 1 LT (12 UNIDADES POR CAJA)</t>
  </si>
  <si>
    <t>ACEITE DE OLIVA SECRETO DEL FRAILE 500 ML (10 UNIDADES POR CAJA)</t>
  </si>
  <si>
    <t>ACEITE PARA FREIR MAXI FRITS 10 LTS (2 BIDONES POR CAJA)</t>
  </si>
  <si>
    <t>ACEITE PARA FREIR FRITO RICO BIDON 10 LT (2 BIDONES POR CAJA)</t>
  </si>
  <si>
    <t>ACEITE VEGETAL GENERICO 900 CC (12 UNIDADES POR CAJA)</t>
  </si>
  <si>
    <t>ACEITE DE OLIVA MEDITERRANEO 500 ML (10 UNIDADES POR CAJA)</t>
  </si>
  <si>
    <t>ACEITE DE OLIVA MEDITERRANEO 1000 ML (12 UNIDADES POR CAJA)</t>
  </si>
  <si>
    <t>ACEITE PARA FREIR MARAVITA BIDON 5 LTS (4 BIDONES POR CAJA)</t>
  </si>
  <si>
    <t>QUESO AHUMADO TRADICION SANTA ROSA 100 GR (10 UNIDADES POR CAJA)</t>
  </si>
  <si>
    <t>QUESO AHUMADO FOREST PIEZA 1,1 KG APP</t>
  </si>
  <si>
    <t>QUESO AZUL SANTA ROSA PIEZA 2,6 KG APP</t>
  </si>
  <si>
    <t>QUESO AZUL SANTA FE PIEZA 2 KG APP</t>
  </si>
  <si>
    <t>QUESO AZUL GRAND BLU SANTA ROSA 100 GR (12 UNIDADES POR CAJA)</t>
  </si>
  <si>
    <t>QUESO AZUL SAINT AGUR PIEZA 2,3 KG APP</t>
  </si>
  <si>
    <t>QUESO AZUL SAINT AGUR CUÑA 125 GR (7 UNIDADES POR CAJA)</t>
  </si>
  <si>
    <t>COCA-COLA ORIGINAL BOTELLA PACK 1,5 LTS (6 UNIDADES POR PACK)</t>
  </si>
  <si>
    <t>QUESO BRIE SANTA ROSA PIEZA 1 KG APP</t>
  </si>
  <si>
    <t>QUESO BRIE PETIT ILE DE FRANCE 125 GR (12 UNIDADES POR CAJA)</t>
  </si>
  <si>
    <t>QUESO MINI BRIE ILE DE FRANCE PACK 5 UNIDADES DE 25 GR C/U (12 PACK POR CAJA)</t>
  </si>
  <si>
    <t>QUESO BRIE PETIT SANTA ROSA 125 GR (8 UNIDADES POR CAJA)</t>
  </si>
  <si>
    <t>QUESO BRIE LAMINADO ILE DE FRANCE 150 GR (8 UNIDADES POR CAJA)</t>
  </si>
  <si>
    <t>QUESO BRIE AU BLEU ILE DE FRANCE 125 GR (12 UNIDADES POR CAJA)</t>
  </si>
  <si>
    <t>QUESO BRIE QUILLAYES 100 GRS (10 UNIDADES POR CAJA)</t>
  </si>
  <si>
    <t>QUESO CAMEMBERT QUILLAYES 100 GRS (10 UNIDADES POR CAJA)</t>
  </si>
  <si>
    <t>QUESO DE CABRA CHUPALLA PIEZA 4.7 KG APP</t>
  </si>
  <si>
    <t>QUESO CABRA GARCIA BAQUERO CUÑA 150 GR (8 UNIDADES POR CAJA)</t>
  </si>
  <si>
    <t>QUESO DE CABRA CREMOSO CHAVROUX ILE DE FRANCE 150 GR (6 UNIDADES POR CAJA)</t>
  </si>
  <si>
    <t>QUESO CABRA PAHUILMO BARRA 3.2 KG</t>
  </si>
  <si>
    <t>QUESO CAMEMBERT PETIT ILE DE FRANCE 125 GR (12 UNIDADES POR CAJA)</t>
  </si>
  <si>
    <t>JAMON ACARAMELADO SUPER CERDO PIEZA 3,6 KG APP</t>
  </si>
  <si>
    <t>JAMON SANDWICH PF BARRA 3,2 KG APP</t>
  </si>
  <si>
    <t>JAMON SERRANO LAMINADO EXTRA PULIDO 500 GR (8 UNIDADES POR CAJA)</t>
  </si>
  <si>
    <t>SALAME LAMINADO LA PREFERIDA 1,6 KG (2 UNIDADES POR CAJA)</t>
  </si>
  <si>
    <t>TOCINO LAMINADO SUGARDALE CAJA 6,8 KG APP</t>
  </si>
  <si>
    <t>PEPPERONI ULTRA DELGADO SUGARDALE BOLSA 5,68 KG</t>
  </si>
  <si>
    <t>TOCINO LAMINADO 500 GRS. LA PREFERIDA (4 UNIDADES POR CAJA)</t>
  </si>
  <si>
    <t>PEPPERONI 500 GRS. PF (4 CILINDOS POR CAJA)</t>
  </si>
  <si>
    <t>SALAME AHUMADO PF PIEZA 1 KG</t>
  </si>
  <si>
    <t>SALAME ITALIANO PF PIEZA 1 KG</t>
  </si>
  <si>
    <t>PEPPERONI ULTRA DELGADO SUGARDALE BOLSA 1 KG (6 BOLSAS POR CAJA)</t>
  </si>
  <si>
    <t>QUESO CHEDDAR LAMINADO MILKAUT BARRA 2,73 KG (4 BARRAS POR CAJA)</t>
  </si>
  <si>
    <t>QUESO CHEDDAR LAMINADO SCHREIBER BARRA 2,27 KG (4 UNIDADES POR CAJA)</t>
  </si>
  <si>
    <t>QUESO CHEDDAR SANTA ROSA SALSA 1 KG (8 UNIDADES POR CAJA)</t>
  </si>
  <si>
    <t>QUESO CHEDDAR LAMINADO ADLER 144 GR (20 UNIDADES POR CAJA)</t>
  </si>
  <si>
    <t>QUESO CHEDDAR SANTA ROSA BLOCK 19,5 KG APP</t>
  </si>
  <si>
    <t>QUESO CHEDDAR LAMINADO SUCEDANEO QUILLAYES BARRA 2,27 Kg. (4 BARRAS POR CAJA)</t>
  </si>
  <si>
    <t>QUESO CHEDDAR KRAFT BARRA 2,27 KG. (4 UNIDADES POR CAJA)</t>
  </si>
  <si>
    <t>QUESO CHEDDAR LAMINADO TONADITA BARRA 1,92 KG. (2 BARRAS POR CAJA)</t>
  </si>
  <si>
    <t>ACEITUNA NEGRA EN RODAJAS ALISUR 935 GR (10 BOLSAS POR CAJA)</t>
  </si>
  <si>
    <t>CHAMPIÑON ENTERO BUHO TARRO 400 GRS. (24 TARROS POR CAJA)</t>
  </si>
  <si>
    <t>TOMATE ITALIANO PELADO ENTERO DI MATTEO 2,5 KG (6 TARROS POR CAJA)</t>
  </si>
  <si>
    <t>QUESO CREMA MILKAUT BALDE 3,6 KG</t>
  </si>
  <si>
    <t>QUESO CREMA RENY PICOT BARRA 1,36 KG (10 UNIDADES POR CAJA)</t>
  </si>
  <si>
    <t>QUESO CREMA SCHREIBER BARRA 1,36 KG (10 UNIDADES POR CAJA)</t>
  </si>
  <si>
    <t>QUESO CREMA GREEN BAY BARRA 1.36 KILOS (10 BARRAS POR CAJA)</t>
  </si>
  <si>
    <t>QUESO CREMA HERITAGE 227 GR (36 UNIDADES POR CAJA)</t>
  </si>
  <si>
    <t>QUESO CREMA BEGA BARRA 2 KG (6 UNIDADES POR CAJA)</t>
  </si>
  <si>
    <t>QUESO CREMA SANTA ROSA 200 GR (36 UNIDADES POR CAJA)</t>
  </si>
  <si>
    <t>QUESO CREMA RAFULCO BARRA 1,36 KG (12 BARRAS POR CAJA)</t>
  </si>
  <si>
    <t>QUESO CREMA GRAN D BARRA 1,36 KG. (10 BARRAS POR CAJA)</t>
  </si>
  <si>
    <t>QUESO CREMA SUCEDANEO KROL BARRA 1,36 KG. (10 UNIDADES POR CAJA)</t>
  </si>
  <si>
    <t>QUESO CREMA CREMATTO MILKAUT BOLSA 3.5 KG</t>
  </si>
  <si>
    <t>QUESO EDAM BOLA TROZADO SANTA ROSA 200 GR (10 UNIDADES POR CAJA)</t>
  </si>
  <si>
    <t>QUESO EMMENTAL TROZO ILE DE FRANCE 200 GR (10 UNIDADES POR CAJA)</t>
  </si>
  <si>
    <t>QUESO GAUDA LAMINADO OSORNO 500 GR (24 UNIDADES POR CAJA)</t>
  </si>
  <si>
    <t>QUESO GAUDA LAMINADO HUILCO 500 GR (24 UNIDADES POR CAJA)</t>
  </si>
  <si>
    <t>QUESO GAUDA LA VAQUITA GRANULADO 1 KG (10 BOLSAS POR CAJA)</t>
  </si>
  <si>
    <t>QUESO GAUDA MOLFINO BARRA 3,5 KG (6 BARRAS POR CAJA)</t>
  </si>
  <si>
    <t>QUESO RANCO T10 COLUN PIEZA 9,5 KG APP</t>
  </si>
  <si>
    <t>QUESO GAUDA SUCEDANEO GUDENA BARRA 3,5 KG (4 BARRAS POR CAJA)</t>
  </si>
  <si>
    <t>QUESO DESPUNTE BOLSA DE 8 KG APP</t>
  </si>
  <si>
    <t>QUESO RANCO T15 COLUN PIEZA 15 KG APP</t>
  </si>
  <si>
    <t>QUESO GAUDA LAMINADO HACIENDA 500 GR (20 UNIDADES POR CAJA)</t>
  </si>
  <si>
    <t>MANTEQUILLA RAFULCO 250 GRS (28 UNIDADES POR CAJA)</t>
  </si>
  <si>
    <t>QUESO GRUYERE TROZADO SANTA ROSA 200 GR (10 UNIDADES POR CAJA)</t>
  </si>
  <si>
    <t>QUESO GRUYERE SANTA ROSA PIEZA 12,6 KG APP</t>
  </si>
  <si>
    <t>QUESO GRUYERE PERE ANDRE TROZADO 200 GR (9 UNIDADES POR CAJA)</t>
  </si>
  <si>
    <t>QUESO GRUYERE HOLANDES PERE ANDRE PIEZA 12,6 KG APP</t>
  </si>
  <si>
    <t>HUEVOS BLANCOS EXTRA (180 UNIDADES POR CAJA)</t>
  </si>
  <si>
    <t>HUEVOS BLANCOS PRIMERA (180 UNIDADES POR CAJA)</t>
  </si>
  <si>
    <t>QUESO IBERICO TRES LECHES GARCIA BAQUERO PIEZA 3,4 KG APP</t>
  </si>
  <si>
    <t xml:space="preserve">PANKO BLANCO BOLSA 1 KG (10 BOLSAS POR CAJA) </t>
  </si>
  <si>
    <t>ALGA NORI GREEN JAPOFOOD BOLSA 100 HOJAS (10 BOLSAS POR CAJA)</t>
  </si>
  <si>
    <t>SALSA SOYA KIKOMAN BALDE 19 LTS</t>
  </si>
  <si>
    <t>ALGA NORI BLUE BOLSA 100 HOJAS (10 BOLSAS POR CAJA)</t>
  </si>
  <si>
    <t>LECHE ENTERA COLUN 1 LT (12 UNIDADES POR CAJA)</t>
  </si>
  <si>
    <t>CREMA PARA BATIR COLUN 1 LT (12 UNIDADES POR CAJA)</t>
  </si>
  <si>
    <t>LECHE DESCREMADA SIN LACTOSA COLUN 1 LT (12 UNIDADES POR CAJA)</t>
  </si>
  <si>
    <t>LECHE ENTERA SIN LACTOSA COLUN 1 LT (12 UNIDADES POR CAJA)</t>
  </si>
  <si>
    <t>LECHE SEMIDESCREMADA SIN LACTOSA COLUN 1 LT (12 UNIDADES POR CAJA)</t>
  </si>
  <si>
    <t>LECHE DESCREMADA COLUN 1 LT (12 UNIDADES POR CAJA)</t>
  </si>
  <si>
    <t>LECHE SEMIDESCREMADA COLUN 1 LT (12 UNIDADES POR CAJA)</t>
  </si>
  <si>
    <t>CREMA PARA BATIR COLUN SIN LACTOSA 1 LT (12 UNIDADES POR CAJA)</t>
  </si>
  <si>
    <t>CREMA ACIDA SACHET QUILLAYES 200 ML (10 UNIDADES POR CAJA)</t>
  </si>
  <si>
    <t>QUESO MANCHEGO GRAN MAESTRO CUÑA GARCIA BAQUERO 150 GR (8 UNIDADES POR CAJA)</t>
  </si>
  <si>
    <t>QUESO MANCHEGO SEMICURADO GARCIA BAQUERO PIEZA 3 KG APP</t>
  </si>
  <si>
    <t>MANJAR COLUN PORTION 20 GR (120 UNIDADES POR CAJA)</t>
  </si>
  <si>
    <t>QUESO MANTECOSO RIO CRUCES PIEZA 9,5 KG APP</t>
  </si>
  <si>
    <t>QUESO MANTECOSO PRADERAS DE OSORNO PIEZA 10.25 KG APP</t>
  </si>
  <si>
    <t>QUESO MANTECOSO PARCELAS DE VALDIVIA PIEZA 9.5 KG APP</t>
  </si>
  <si>
    <t>QUESO CHANCO KUMEY PIEZA 9,5 KG APP</t>
  </si>
  <si>
    <t>QUESO MANTECOSO LAMINADO MATTHEI 500 GR (22 UNIDADES POR CAJA)</t>
  </si>
  <si>
    <t>QUESO MANTECOSO LAMINADO MATTHEI 250 GR (40 UNIDADES POR CAJA)</t>
  </si>
  <si>
    <t>QUESO MANTECOSO MATTHEI PIEZA 6 KG</t>
  </si>
  <si>
    <t>QUESO MANTECOSO QUILACOYA BOLITA 0,9 KG APP (6 UNIDADES POR CAJA)</t>
  </si>
  <si>
    <t>QUESO MANTECOSO TROZADO MATTHEI 500 GR (22 UNIDADES POR CAJA)</t>
  </si>
  <si>
    <t>QUESO MANTECOSO TROZADO MATTHEI 250 GR (40 UNIDADES POR CAJA)</t>
  </si>
  <si>
    <t xml:space="preserve">QUESO MANTECOSO LAMINADO HACIENDA 500 GR (20 UNIDADES POR CAJA)	</t>
  </si>
  <si>
    <t>QUESO MANTECOSO BARRA QUILLAYES 3.2 KG APP (6 BARRAS POR CAJA)</t>
  </si>
  <si>
    <t>QUESO MANTECOSO MATTHEI 1 KG APP (6 UNIDADES POR CAJA)</t>
  </si>
  <si>
    <t>QUESO CHANCO BARRA QUILLAYES 3.2 KG APP (6 BARRAS POR CAJA)</t>
  </si>
  <si>
    <t>QUESO GAUDA NOAL BARRA 3.6 KG APP (4 BARRAS POR CAJA)</t>
  </si>
  <si>
    <t>MANTEQUILLA PORTION COLUN 10 GR (200 UNIDADES POR CAJA)</t>
  </si>
  <si>
    <t>MANTEQUILLA KUMEY 250 GR (20 UNIDADES POR CAJA)</t>
  </si>
  <si>
    <t>MANTEQUILLA KUMEY 125 GR (36 UNIDADES POR CAJA)</t>
  </si>
  <si>
    <t>MANTEQUILLA PROFESIONAL ELLE Y VIRE PLANCHA 1 KG (2 PLANCHAS POR CAJA)</t>
  </si>
  <si>
    <t>MANTEQUILLA COLUN 250 GR (40 UNIDADES POR CAJA)</t>
  </si>
  <si>
    <t>MANTEQUILLA FUTALEUFU 200 GR (30 UNIDADES POR CAJA)</t>
  </si>
  <si>
    <t>MANTEQUILLA COLUN SIN SAL 250 GR (40 UNIDADES POR CAJA)</t>
  </si>
  <si>
    <t>QUESO PROVOLETA SANTA ROSA PIEZA 3,8 KG</t>
  </si>
  <si>
    <t>QUESO PROVOLETA TROZO SANTA ROSA 150 GR (10 UNIDADES POR CAJA)</t>
  </si>
  <si>
    <t>QUESO PROVOLETA SANTA ROSA BANDEJA 130 GR X 2 (10 UNIDADES POR CAJA)</t>
  </si>
  <si>
    <t>QUESO REGGIANITO NEGRO SANTA ROSA PIEZA 7 KG APP</t>
  </si>
  <si>
    <t>QUESO REGGIANITO BLANCO SANTA ROSA PIEZA 7 KG APP</t>
  </si>
  <si>
    <t>QUESO REGGIANITO RALLADO LA VAQUITA 1 KG (5 BOLSAS POR CAJA)</t>
  </si>
  <si>
    <t>QUESO REGGIANITO BLANCO SANTA ROSA CUÑA 145 GR (10 UNIDADES POR CAJA)</t>
  </si>
  <si>
    <t>QUESO GRANA PADANO FERRARI CUÑA 200 GR (14 UNIDADES POR CAJA)</t>
  </si>
  <si>
    <t>QUESO PARMESANO LA VAQUITA PIEZA 7 KG APP</t>
  </si>
  <si>
    <t>QUESO PARMESANO LITUANO PIEZA 4,5 APP</t>
  </si>
  <si>
    <t>TRIPLE CONCENTRADO DE TOMATE CAROZZI BOLSA 3 KG (6 UNIDADES POR CAJA)</t>
  </si>
  <si>
    <t>SALSA BARBECUE CAROZZI BOLSA 1 KILO (10 BOLSAS POR CAJA)</t>
  </si>
  <si>
    <t>TABLA DE QUESO TRADICION SANTA ROSA 470 GR (6 UNIDADES POR CAJA)</t>
  </si>
  <si>
    <t>TABLA DE QUESO TENTACION SANTA ROSA 250 GRS. (6 UNIDADES POR CAJA)</t>
  </si>
  <si>
    <t>TABLA DE QUESO DEGUSTACION SANTA ROSA 200 GR (6 UNIDADES POR CAJA)</t>
  </si>
  <si>
    <t>PEPINO DULCE BY MARIA 990 GR. (9 UNIDADES POR CAJA)</t>
  </si>
  <si>
    <t>PEPINO DULCE CORTE AMERICANO BY MARIA 990 GR. (9 UNIDADES POR CAJA)</t>
  </si>
  <si>
    <t>KETCHUP CLASICO BY MARIA 1000GR. (9 UNIDADES POR CAJA)</t>
  </si>
  <si>
    <t>JUGO DE TOMATE BY MARIA 1000 ML. (9 UNIDADES POR CAJA)</t>
  </si>
  <si>
    <t>CEBOLLA MORADA BY MARIA 430 GR. (12 UNIDADES POR CAJA)</t>
  </si>
  <si>
    <t>MOSTAZA TRIPLE CRUNCH BY MARIA 420 GR. (12 UNIDADES POR CAJA)</t>
  </si>
  <si>
    <t>PEPINO DULCE CORTE AMERICANO BY MARIA 430 GR. (12 UNIDADES POR CAJA)</t>
  </si>
  <si>
    <t>QUESO MOZZARELLA VEGANO MAMMA MOZZA BARRA 2,5 KG (5 BARRAS POR CAJA)</t>
  </si>
  <si>
    <t>QUESO CHEDDAR VEGANO MAMMA BURGER BARRA 2,5 KG (5 BARRAS POR CAJA)</t>
  </si>
  <si>
    <t>VIENESAS SAN JORGE 1 KG (8 PACKS POR CAJA)</t>
  </si>
  <si>
    <t>PALMITOS ENTEROS BUHO 800 GR (12 UNIDADES POR CAJA)</t>
  </si>
  <si>
    <t>PALMITOS RODAJAS BUHO 800 GR (12 UNIDADES POR CAJA)</t>
  </si>
  <si>
    <t>YOGHURT NATURAL COLUN BOLSA 1 KG (18 BOLSAS POR CAJA)</t>
  </si>
  <si>
    <t>SAL DE MESA DOÑA EULALIA 1 KG (10 UNIDADES POR CAJA)</t>
  </si>
  <si>
    <t>PAPAS FRITAS 10MM STAR FRITES BOLSA 2 KG (5 BOLSAS POR CAJA)</t>
  </si>
  <si>
    <t>ACEITE PARA FREIR MAXI FRITS 10 LTS (PALLET 36 CAJAS 2 BIDONES POR CAJA)</t>
  </si>
  <si>
    <t>QUESO CREMA RENY PICOT BARRA 1,36 KG (PALLET 50 CAJAS,10 BARRAS POR CAJA)</t>
  </si>
  <si>
    <t>LECHE ENTERA COLUN 1 LT (Pallet 50 Cajas, 12 UNIDADES POR CAJA)</t>
  </si>
  <si>
    <t>SKU</t>
  </si>
  <si>
    <t>NOMBRE</t>
  </si>
  <si>
    <t>CATEGORÍA</t>
  </si>
  <si>
    <t>SUBCATEGORÍA</t>
  </si>
  <si>
    <t>UM</t>
  </si>
  <si>
    <t>MACNO</t>
  </si>
  <si>
    <t>RIO CRUCES</t>
  </si>
  <si>
    <t>SOCOAL</t>
  </si>
  <si>
    <t>FO</t>
  </si>
  <si>
    <t>ALIACE</t>
  </si>
  <si>
    <t>ACEITE DE OLIVA MEDITERRANEO 250 ML (20 UNIDADES POR CAJA)</t>
  </si>
  <si>
    <t>ACEITE PARA FREIR VEGETAL NATURALAGRO BIDON 10 LTS (2 BIDONES POR CAJA)</t>
  </si>
  <si>
    <t>AJI VERDE BY MARIA 990 GR. (9 UNIDADES POR CAJA)</t>
  </si>
  <si>
    <t>ALGA NORI GREEN JAPOFOOD BOLSA 100 HOJAS (40 BOLSAS POR CAJA)</t>
  </si>
  <si>
    <t>CEBOLLA MORADA BY MARIA 990 GR. (9 UNIDADES POR CAJA)</t>
  </si>
  <si>
    <t>COCA-COLA SIN AZUCAR PACK BOTELLA 1,5 LTS (6 UNIDADES POR PACK)</t>
  </si>
  <si>
    <t>CREMA DE LECHE SURLAT 1 LT (12 UNIDADES POR CAJA)</t>
  </si>
  <si>
    <t>JAMON PIERNA ACARAMELADO PF PIEZA 2,5 KG APP</t>
  </si>
  <si>
    <t>JAMON SANDWICH SAN JORGE BARRA 3,5 KG APP</t>
  </si>
  <si>
    <t>KETCHUP CLASICO BY MARIA 350GR. (12 UNIDADES POR CAJA)</t>
  </si>
  <si>
    <t>LECHE ENTERA SURLAT 1 LT (12 UNIDADES POR CAJA)</t>
  </si>
  <si>
    <t>MOSTAZA DULCE BY MARIA 950 GR. (9 UNIDADES POR CAJA)</t>
  </si>
  <si>
    <t>PANCETA AHUMADA PF 1 KG. (2 UNIDADES POR CAJA)</t>
  </si>
  <si>
    <t>QUESO AHUMADO PERE ANDRE PIEZA 1,1 KG APP</t>
  </si>
  <si>
    <t>QUESO AHUMADO SANTA ROSA 200 GR (10 UNIDADES POR CAJA)</t>
  </si>
  <si>
    <t>QUESO BRIE COEUR DE LION PIEZA 3 KG APP</t>
  </si>
  <si>
    <t>QUESO BRIE ILE DE FRANCE PIEZA 3 KG APP</t>
  </si>
  <si>
    <t>QUESO CAMEMBERT CREMAMBERT SANTA ROSA 125 GR (8 UNIDADES POR CAJA)</t>
  </si>
  <si>
    <t>QUESO CAMEMBERT ILE DE FRANCE 250 GR (6 UNIDADES POR CAJA)</t>
  </si>
  <si>
    <t>QUESO CHEDDAR LAMINADO VEGANO QUILLAYES 200 GR ( 12 UNIDADES POR CAJA)</t>
  </si>
  <si>
    <t>QUESO CHEDDAR SANTA ROSA TROZO 200 GR (10 UNIDADES POR CAJA)</t>
  </si>
  <si>
    <t>QUESO CREMA CAPRICE DES DIEUX 125 GR ( 8 UNIDADES POR CAJA)</t>
  </si>
  <si>
    <t>QUESO CREMA KRAFT BARRA 2,27 KG. (4 UNIDADES POR CAJA)</t>
  </si>
  <si>
    <t>QUESO CREMA POTE LIGHT SANTA ROSA 150 GR (12 UNIDADES POR CAJA)</t>
  </si>
  <si>
    <t>QUESO CREMA POTE SANTA ROSA 150 GR (12 UNIDADES POR CAJA)</t>
  </si>
  <si>
    <t>QUESO DE CABRA CABRA ACEITUNA SANTA ROSA 200 GR (10 UNIDADES POR CAJA)</t>
  </si>
  <si>
    <t>QUESO DE CABRA CIBOULETTE TROZO SANTA ROSA 200 GR (10 UNIDADES POR CAJA)</t>
  </si>
  <si>
    <t>QUESO DE CABRA FRESCO CHEVRE ILE DE FRANCE 110 GR (12 UNIDADES POR CAJA)</t>
  </si>
  <si>
    <t>QUESO DE CABRA PREMIUM SANTA ROSA 200 GR (10 UNIDADES POR CAJA)</t>
  </si>
  <si>
    <t>QUESO DE CABRA ROCINANTE PIEZA 3 KG APP</t>
  </si>
  <si>
    <t>QUESO DE CABRA TRADICIONAL SANTA ROSA BARRA 2,2 KG APP</t>
  </si>
  <si>
    <t>QUESO DE CABRA TRADICIONAL SANTA ROSA TROZO 200 GR (10 UNIDADES POR CAJA)</t>
  </si>
  <si>
    <t>QUESO DE OVEJA PECORINO ROMANO FERRRARI 200 GR (14 UNIDADES POR CAJA)</t>
  </si>
  <si>
    <t>QUESO EDAM BOLA SANTA ROSA PIEZA 1 KG APP</t>
  </si>
  <si>
    <t>QUESO EMMENTAL PERE ANDRE 200 GR (9 UNIDADES POR CAJA)</t>
  </si>
  <si>
    <t>QUESO GRANA PADANO FERRARI CUÑA 1 KG (6 UNIDADES POR CAJA)</t>
  </si>
  <si>
    <t>QUESO IBERICO TRES LECHES CURADO GARCIA BAQUERO CUÑA 150 GR (8 Un POR CAJA)</t>
  </si>
  <si>
    <t>QUESO IBERICO TRES LECHES ROCINANTE CUÑA 200 GR (12 UNIDADES POR CAJA)</t>
  </si>
  <si>
    <t>QUESO IBERICO TRES LECHES ROCINANTE PIEZA 3,3 KG</t>
  </si>
  <si>
    <t>QUESO IBERICO TRES LECHES SEMICURADO GARCIA BAQUERO CUÑA 150 GR (8 Un POR CAJA)</t>
  </si>
  <si>
    <t>QUESO MANCHEGO MAESE MIGUEL PIEZA 3 KG APP</t>
  </si>
  <si>
    <t>QUESO MANTECOSO KUMEY BOLITA 1 KG (8 UNIDADES POR CAJA)</t>
  </si>
  <si>
    <t>QUESO MOZZARELLA GRANULADO LA VAQUITA BOLSA 1 KG. (10 BOLSAS POR CAJA)</t>
  </si>
  <si>
    <t>QUESO MOZZARELLA MOLFINO BARRA 3,5 KG (PALLET 50 CAJAS, 6 BARRAS POR CAJA)</t>
  </si>
  <si>
    <t>QUESO MOZZARELLA VEGANO MAMMA PIZZA BARRA 2,5 KG (5 BARRAS POR CAJA)</t>
  </si>
  <si>
    <t>QUESO PARA EMPANADAS BLOQUE 15.3 KG APP</t>
  </si>
  <si>
    <t>QUESO PARMEGIANO REGGIANO FERRARI CUÑA 200 GR (14 UNIDADES POR CAJA)</t>
  </si>
  <si>
    <t>QUESO PROVOLONE SANTA ROSA PIEZA 8,7 KG APP</t>
  </si>
  <si>
    <t>QUESO RANCO COLUN BARRA 2,3 KG APP (2 BARRAS POR CAJA)</t>
  </si>
  <si>
    <t>QUESO REGGIANITO PAULINA PIEZA 7,2 KG APP</t>
  </si>
  <si>
    <t>QUESO REGGIANITO RALLADO SANTA ROSA 1 KG (6 BOLSAS POR CAJA)</t>
  </si>
  <si>
    <t>QUESO ROQUEFORT ILE DE FRANCE 100 GR (12 UNIDADES POR CAJA)</t>
  </si>
  <si>
    <t>QUESO ROQUEFORT ILE DE FRANCE PIEZA 1,3 KG APP</t>
  </si>
  <si>
    <t>QUESO ROQUEFORT PAPILLON CUÑA 100 GR (12 UNIDADES POR CAJA)</t>
  </si>
  <si>
    <t>QUESO ROQUEFORT PAPILLON PIEZA 1,3 KG APP</t>
  </si>
  <si>
    <t>TABLA DE QUESO DE CABRA TIERRAS DE CHILE SANTA ROSA (6 UNIDADES POR CAJA)</t>
  </si>
  <si>
    <t>TABLA DE QUESO GARCIA BAQUERO 150 GR (14 X CAJA)</t>
  </si>
  <si>
    <t>TABLA DE QUESO GRAN RESERVAS SANTA ROSA (6 UNIDADES POR CAJA)</t>
  </si>
  <si>
    <t>TABLA DE QUESOS CAMPESTRE TIERRAS DE CHILE SANTA ROSA 500 GR (6 Un POR CAJA)</t>
  </si>
  <si>
    <t>TABLA DE QUESOS CLASICOS SANTA ROSA 565 GR (6 UNIDADES POR CAJA)</t>
  </si>
  <si>
    <t>TOCINO AHUMADO PREMIUM LAMINADO SUGARDALE 6,8 KG APP.</t>
  </si>
  <si>
    <t>TOMATE ITALIANO PELADO ENTERO LA ROSINA 2,5 KG (PALLET 64, 6 TARROS POR CAJA)</t>
  </si>
  <si>
    <t>JAGIPACK</t>
  </si>
  <si>
    <t>COHESA</t>
  </si>
  <si>
    <t>JA</t>
  </si>
  <si>
    <t>ALISUR</t>
  </si>
  <si>
    <t>GAG</t>
  </si>
  <si>
    <t>ALCA</t>
  </si>
  <si>
    <t>HAITI</t>
  </si>
  <si>
    <t>PROVEEDOR 1</t>
  </si>
  <si>
    <t>PROVEEDOR 2</t>
  </si>
  <si>
    <t>BY MARIA</t>
  </si>
  <si>
    <t>SANTA ROSA</t>
  </si>
  <si>
    <t>ICB</t>
  </si>
  <si>
    <t>QUILLAYES</t>
  </si>
  <si>
    <t>PAHUILMO</t>
  </si>
  <si>
    <t>FBS</t>
  </si>
  <si>
    <t>PROMERCO</t>
  </si>
  <si>
    <t>CODIGUA</t>
  </si>
  <si>
    <t>CHILE CALIDAD</t>
  </si>
  <si>
    <t>ODN</t>
  </si>
  <si>
    <t>RAFULCO</t>
  </si>
  <si>
    <t>PORVENIR</t>
  </si>
  <si>
    <t>COLUN</t>
  </si>
  <si>
    <t>AGRICOVIAL</t>
  </si>
  <si>
    <t>BOBA</t>
  </si>
  <si>
    <t>RODENBERG</t>
  </si>
  <si>
    <t>QUILACOYA</t>
  </si>
  <si>
    <t>NOAL</t>
  </si>
  <si>
    <t>FUTALEUFU</t>
  </si>
  <si>
    <t>IMPORTADA</t>
  </si>
  <si>
    <t>CAROZZI</t>
  </si>
  <si>
    <t>SANTA ANA</t>
  </si>
  <si>
    <t>MANTEQUILLA TONADITA CON SAL 250 GR (12 UNIDADES POR CAJA)</t>
  </si>
  <si>
    <t>FICHA TÉCNICA</t>
  </si>
  <si>
    <t>Link</t>
  </si>
  <si>
    <t>MT^3</t>
  </si>
  <si>
    <t>CARIBE</t>
  </si>
  <si>
    <t>QUESO RANCO COLUN LAMINADO 5 KG</t>
  </si>
  <si>
    <t>ACEITE PARA FREIR FRITO MAC BIDON 10 LT (2 BIDONES POR CAJA)</t>
  </si>
  <si>
    <t>SPOT</t>
  </si>
  <si>
    <t>TIPO DE VENTA</t>
  </si>
  <si>
    <t>QUESO DESPUNTE BLOCK DE 10 KG APP</t>
  </si>
  <si>
    <t>TIPO DE COMPRA</t>
  </si>
  <si>
    <t>PALLET - 54</t>
  </si>
  <si>
    <t>ROBERTO</t>
  </si>
  <si>
    <t>PALLET-120</t>
  </si>
  <si>
    <t>BENJAMIN</t>
  </si>
  <si>
    <t>COSTO NETO</t>
  </si>
  <si>
    <t>MARGEN</t>
  </si>
  <si>
    <t>COSTO VENTA</t>
  </si>
  <si>
    <t>AZUCAR BLANCA LA TERESINA 1 KG (10 UNIDADES POR CAJA)</t>
  </si>
  <si>
    <t>QUESO MANTECOSO QUILACOYA PIEZA 9,5 KG APP (2 UNIDADES POR CAJA)</t>
  </si>
  <si>
    <t>CAJA</t>
  </si>
  <si>
    <t xml:space="preserve"> </t>
  </si>
  <si>
    <t>PALLET</t>
  </si>
  <si>
    <t>QUESO CHEDDAR TONADITA SALSA 1 KG (4 UNIDADES POR CAJA)</t>
  </si>
  <si>
    <t>UNIDAD</t>
  </si>
  <si>
    <t>CHOCLITOS COCTEL BUHO 425 GR (24 UNIDADES POR CAJA)</t>
  </si>
  <si>
    <t>QUESO RICOTTA QUILLAYES 1 KG (5 UNIDADES POR CAJA)</t>
  </si>
  <si>
    <t>NO PEDIR</t>
  </si>
  <si>
    <t>MAIA</t>
  </si>
  <si>
    <t>BENJA LOS COMPRA</t>
  </si>
  <si>
    <t>ALVARO COMPRA</t>
  </si>
  <si>
    <t>MANTENER STOCK DE 15 UNIDADES PARA TODOS LOS LUNES</t>
  </si>
  <si>
    <t>MANTENER STOCK DE 50 CAJAS</t>
  </si>
  <si>
    <t>ACEITE DE OLIVA MEDITERRANEO BIDON 5 LITROS</t>
  </si>
  <si>
    <t>PALLET - 75</t>
  </si>
  <si>
    <t>X 20 UNIDADES</t>
  </si>
  <si>
    <t>YOGHURT CHIRIMOYA SIN LACTOSA COLUN BOLSA 900 GR (18 BOLSAS POR CAJA)</t>
  </si>
  <si>
    <t>HEINZ</t>
  </si>
  <si>
    <t>ALGA NORI GOLD JAPOFOOD BOLSA 100 HOJAS (10 BOLSAS POR CAJA)</t>
  </si>
  <si>
    <t>ELCOR</t>
  </si>
  <si>
    <t>AGROLAC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</si>
</sst>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42" fontId="0" fillId="0" borderId="0" xfId="2" applyFont="1" applyAlignment="1">
      <alignment horizontal="center"/>
    </xf>
    <xf numFmtId="42" fontId="0" fillId="0" borderId="0" xfId="2" applyFont="1"/>
    <xf numFmtId="9" fontId="0" fillId="0" borderId="0" xfId="3" applyFont="1" applyAlignment="1">
      <alignment horizontal="center"/>
    </xf>
    <xf numFmtId="4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</cellXfs>
  <cellStyles count="4">
    <cellStyle name="Hipervínculo" xfId="1" builtinId="8"/>
    <cellStyle name="Moneda [0]" xfId="2" builtinId="7"/>
    <cellStyle name="Normal" xfId="0" builtinId="0"/>
    <cellStyle name="Porcentaje" xfId="3" builtinId="5"/>
  </cellStyles>
  <dxfs count="14">
    <dxf>
      <numFmt numFmtId="32" formatCode="_ &quot;$&quot;* #,##0_ ;_ &quot;$&quot;* \-#,##0_ ;_ &quot;$&quot;* &quot;-&quot;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5EE10-E787-4E34-B6C2-4A66E5882EE4}" name="Tabla1" displayName="Tabla1" ref="A1:N232" totalsRowShown="0" headerRowDxfId="13">
  <autoFilter ref="A1:N232" xr:uid="{4347C47C-BCC8-4B7C-AA44-4BEC2727C4C3}"/>
  <sortState xmlns:xlrd2="http://schemas.microsoft.com/office/spreadsheetml/2017/richdata2" ref="A2:N231">
    <sortCondition ref="A1:A231"/>
  </sortState>
  <tableColumns count="14">
    <tableColumn id="1" xr3:uid="{CEC4C619-84D0-4C8D-8ECA-31BB7295D50E}" name="SKU" dataDxfId="12"/>
    <tableColumn id="2" xr3:uid="{91DEB101-9931-4A07-8FDB-5571136D5520}" name="NOMBRE"/>
    <tableColumn id="3" xr3:uid="{8D45E7F3-8E3B-4CC7-8A45-1A35AC2CF694}" name="CATEGORÍA" dataDxfId="11">
      <calculatedColumnFormula array="1">_xlfn.LET(
_xlpm.texto,B2,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calculatedColumnFormula>
    </tableColumn>
    <tableColumn id="4" xr3:uid="{2CD84068-C30A-4F3B-B40C-86B5D39F722F}" name="SUBCATEGORÍA" dataDxfId="10">
      <calculatedColumnFormula array="1">_xlfn.LET(
_xlpm.texto,B2,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calculatedColumnFormula>
    </tableColumn>
    <tableColumn id="6" xr3:uid="{449C1408-9449-439C-8D02-2448B4D84C82}" name="PROVEEDOR 1" dataDxfId="9"/>
    <tableColumn id="12" xr3:uid="{992F0161-CBF4-4528-97B0-0955A0345F1E}" name="PROVEEDOR 2" dataDxfId="8"/>
    <tableColumn id="11" xr3:uid="{0DACBEA2-78C1-41C3-9671-4EF46EC8565A}" name="UM" dataDxfId="7">
      <calculatedColumnFormula array="1">_xlfn.LET(
_xlpm.texto,B2,
IF(
SUM(--ISNUMBER(SEARCH({"CAJA"},_xlpm.texto)))&gt;0,
"CAJA",
"UNIDAD"
))</calculatedColumnFormula>
    </tableColumn>
    <tableColumn id="7" xr3:uid="{B70A2795-3C59-453E-AD80-3427E7EAB2AB}" name="MT^3" dataDxfId="6"/>
    <tableColumn id="8" xr3:uid="{A7E6DC1D-C357-43F2-BAC5-1705F70F9C38}" name="FICHA TÉCNICA" dataDxfId="5"/>
    <tableColumn id="10" xr3:uid="{E6D8C34E-D51E-490B-8360-46C99A3FA3F2}" name="TIPO DE VENTA" dataDxfId="4"/>
    <tableColumn id="13" xr3:uid="{F2BE1DF6-B6D7-4A42-8513-64F523A0C5E8}" name="TIPO DE COMPRA" dataDxfId="3"/>
    <tableColumn id="5" xr3:uid="{CB0A563E-85DE-434E-8B81-442FDCAAE807}" name="COSTO NETO" dataDxfId="2" dataCellStyle="Moneda [0]"/>
    <tableColumn id="9" xr3:uid="{E232B1D3-1958-4EEA-A47F-6FA81B5A9296}" name="MARGEN" dataDxfId="1" dataCellStyle="Porcentaje"/>
    <tableColumn id="14" xr3:uid="{F63EB3AC-85CC-4BA2-A588-2D40F6A780FF}" name="COSTO VENTA" dataDxfId="0">
      <calculatedColumnFormula>IFERROR(Tabla1[[#This Row],[COSTO NETO]]/(1-Tabla1[[#This Row],[MARGEN]]),Tabla1[[#This Row],[COSTO NETO]])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limentika-my.sharepoint.com/:b:/g/personal/inventario_alimentika_cl/IQCOz4iKwrBRRp7fbvQsK_9_AQ4neSOf_0H1vfvSPHXPnXw?e=YGHYhA" TargetMode="External"/><Relationship Id="rId18" Type="http://schemas.openxmlformats.org/officeDocument/2006/relationships/hyperlink" Target="https://alimentika-my.sharepoint.com/:b:/g/personal/inventario_alimentika_cl/IQDUBy9c66tXTKhOyhHfhdKaAUsfqcL7g9-iYwizotFqfuA?e=Agg140" TargetMode="External"/><Relationship Id="rId26" Type="http://schemas.openxmlformats.org/officeDocument/2006/relationships/hyperlink" Target="https://alimentika-my.sharepoint.com/:b:/g/personal/inventario_alimentika_cl/IQAs3_0zrvF3Q6GDVPCxQw_aAfpZGznY8O-6FXLn9ZQOV9Y?e=cHDiwz" TargetMode="External"/><Relationship Id="rId39" Type="http://schemas.openxmlformats.org/officeDocument/2006/relationships/hyperlink" Target="https://alimentika-my.sharepoint.com/:b:/g/personal/inventario_alimentika_cl/IQD72WCaDZ74Q6Xbg8pRUfNtAaFrBOX23thnHhldokvSpCQ?e=4qUs9M" TargetMode="External"/><Relationship Id="rId21" Type="http://schemas.openxmlformats.org/officeDocument/2006/relationships/hyperlink" Target="https://alimentika-my.sharepoint.com/:b:/g/personal/inventario_alimentika_cl/IQCrq4Pis9hKR4vGGou7-QInAfgw4ttyBRu6yU_4X18XeYs?e=hML3UJ" TargetMode="External"/><Relationship Id="rId34" Type="http://schemas.openxmlformats.org/officeDocument/2006/relationships/hyperlink" Target="https://alimentika-my.sharepoint.com/:b:/g/personal/inventario_alimentika_cl/IQCjeCYVkxBSRq1RET4-cMIGATJaVu3e0w84e02fxPzZKEg?e=OnE4kK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alimentika-my.sharepoint.com/:b:/g/personal/inventario_alimentika_cl/IQAPZH74o_y1SKN_qQdZky80AYNoMKhNZWIcACn6k9SYnU4?e=7tBsxB" TargetMode="External"/><Relationship Id="rId2" Type="http://schemas.openxmlformats.org/officeDocument/2006/relationships/hyperlink" Target="https://alimentika-my.sharepoint.com/:b:/g/personal/inventario_alimentika_cl/IQBp8HSm41EUTbj-Qo09XjTjAQFhcZoFAZOX8Cu5zCslmGo?e=EMsB7y" TargetMode="External"/><Relationship Id="rId16" Type="http://schemas.openxmlformats.org/officeDocument/2006/relationships/hyperlink" Target="https://alimentika-my.sharepoint.com/:b:/g/personal/inventario_alimentika_cl/IQCIAcU0unksR44sglWXO9b_AVt8aYJ0LABS1G8310eI4OY?e=Zf9PMK" TargetMode="External"/><Relationship Id="rId20" Type="http://schemas.openxmlformats.org/officeDocument/2006/relationships/hyperlink" Target="https://alimentika-my.sharepoint.com/:b:/g/personal/inventario_alimentika_cl/IQBzXMhSzgQxRalzTltxkV98Acpp37w0zcw7ZGSu0hGHFQk?e=iTaJ6H" TargetMode="External"/><Relationship Id="rId29" Type="http://schemas.openxmlformats.org/officeDocument/2006/relationships/hyperlink" Target="https://alimentika-my.sharepoint.com/:b:/g/personal/inventario_alimentika_cl/IQBz9jsEjMXBTpuTk7TzwNhqAco9mLyrpBc1B7T06iCt1bc?e=46TOZ6" TargetMode="External"/><Relationship Id="rId41" Type="http://schemas.openxmlformats.org/officeDocument/2006/relationships/hyperlink" Target="https://alimentika-my.sharepoint.com/:b:/g/personal/inventario_alimentika_cl/IQA27_RafRsZTI8mdsXKaevnAYbyX9bX_tiBy_raW0KE9Fg?e=F3vc7w" TargetMode="External"/><Relationship Id="rId1" Type="http://schemas.openxmlformats.org/officeDocument/2006/relationships/hyperlink" Target="https://alimentika-my.sharepoint.com/:b:/g/personal/inventario_alimentika_cl/IQClUEc1U_r8Ro2km3gezHIwAbB52TPXmRNShk3OpU_3xSo?e=4VI74N" TargetMode="External"/><Relationship Id="rId6" Type="http://schemas.openxmlformats.org/officeDocument/2006/relationships/hyperlink" Target="https://alimentika-my.sharepoint.com/:b:/g/personal/inventario_alimentika_cl/IQAIgHLvUkJHRZoI4F3jJD0AAWME5j6egrAVXUr2zv2VbVw?e=dGLgD7" TargetMode="External"/><Relationship Id="rId11" Type="http://schemas.openxmlformats.org/officeDocument/2006/relationships/hyperlink" Target="https://alimentika-my.sharepoint.com/:b:/g/personal/inventario_alimentika_cl/IQCMiufPiMIlRZu2G6j-NPEoAaioIBlWB2Ao87QTRg-YZSY?e=HKXIV4" TargetMode="External"/><Relationship Id="rId24" Type="http://schemas.openxmlformats.org/officeDocument/2006/relationships/hyperlink" Target="https://alimentika-my.sharepoint.com/:b:/g/personal/inventario_alimentika_cl/IQDJCK4S7p4zT64akYXQBcFDAX3vM0Zbi9gTnmdP-tMq6Gc?e=YrhPN0" TargetMode="External"/><Relationship Id="rId32" Type="http://schemas.openxmlformats.org/officeDocument/2006/relationships/hyperlink" Target="https://alimentika-my.sharepoint.com/:b:/g/personal/inventario_alimentika_cl/IQAM8vnQNYjITZPydChfvgVpAUDH0lY7imwSRr31mwAgRuc?e=6IaBpd" TargetMode="External"/><Relationship Id="rId37" Type="http://schemas.openxmlformats.org/officeDocument/2006/relationships/hyperlink" Target="https://alimentika-my.sharepoint.com/:b:/g/personal/inventario_alimentika_cl/IQA3UjhAYSOlR7J8iv9Q_422AYDRB9lD0Zr6y8fzJBHJsvs?e=uBYr1d" TargetMode="External"/><Relationship Id="rId40" Type="http://schemas.openxmlformats.org/officeDocument/2006/relationships/hyperlink" Target="https://alimentika-my.sharepoint.com/:b:/g/personal/inventario_alimentika_cl/IQBJlVU1QjuSTrkzD3E9LUhUARvjuCoCKxk11wxlGxHB1Wc?e=lDB2kc" TargetMode="External"/><Relationship Id="rId5" Type="http://schemas.openxmlformats.org/officeDocument/2006/relationships/hyperlink" Target="https://alimentika-my.sharepoint.com/:b:/g/personal/inventario_alimentika_cl/IQAWOiNZfvJXQ7GlEwPv_k74Aa4-oytomEwtx_1p4j13xI0?e=BDnvBY" TargetMode="External"/><Relationship Id="rId15" Type="http://schemas.openxmlformats.org/officeDocument/2006/relationships/hyperlink" Target="https://alimentika-my.sharepoint.com/:b:/g/personal/inventario_alimentika_cl/IQB2xs0ds2LhR4OA1KnDZUioAad-jV70cLkdLZPHjYOPdso?e=hGYAKN" TargetMode="External"/><Relationship Id="rId23" Type="http://schemas.openxmlformats.org/officeDocument/2006/relationships/hyperlink" Target="https://alimentika-my.sharepoint.com/:b:/g/personal/inventario_alimentika_cl/IQBB-8MLWU9yQo-sxk1iYwgKAXsPcKfQezv4ORaqyHi8QVo?e=Re6m9r" TargetMode="External"/><Relationship Id="rId28" Type="http://schemas.openxmlformats.org/officeDocument/2006/relationships/hyperlink" Target="https://alimentika-my.sharepoint.com/:b:/g/personal/inventario_alimentika_cl/IQDiWTx2VUycR4jHlp_PbpFJAUhttNfroj5fDVC7VH-F36A?e=0MNULM" TargetMode="External"/><Relationship Id="rId36" Type="http://schemas.openxmlformats.org/officeDocument/2006/relationships/hyperlink" Target="https://alimentika-my.sharepoint.com/:b:/g/personal/inventario_alimentika_cl/IQBzrvXzPTddSogJNaY9aOqrAaEYnOTbqwDeWJSadUGXFwA?e=lazjXK" TargetMode="External"/><Relationship Id="rId10" Type="http://schemas.openxmlformats.org/officeDocument/2006/relationships/hyperlink" Target="https://alimentika-my.sharepoint.com/:b:/g/personal/inventario_alimentika_cl/IQCzkm9gDfcDRq3tmXZjljrpAc_SD2h_UsJiIWThzuTrK64?e=uSIzg6" TargetMode="External"/><Relationship Id="rId19" Type="http://schemas.openxmlformats.org/officeDocument/2006/relationships/hyperlink" Target="https://alimentika-my.sharepoint.com/:b:/g/personal/inventario_alimentika_cl/IQDG5-5pZmf9T5Nv9OsGa2djAXkXS6iGKCxl05iIhW_F7zs?e=cUj2ze" TargetMode="External"/><Relationship Id="rId31" Type="http://schemas.openxmlformats.org/officeDocument/2006/relationships/hyperlink" Target="https://alimentika-my.sharepoint.com/:b:/g/personal/inventario_alimentika_cl/IQAM8vnQNYjITZPydChfvgVpAUDH0lY7imwSRr31mwAgRuc?e=6XrbEX" TargetMode="External"/><Relationship Id="rId4" Type="http://schemas.openxmlformats.org/officeDocument/2006/relationships/hyperlink" Target="https://alimentika-my.sharepoint.com/:b:/g/personal/inventario_alimentika_cl/IQClUEc1U_r8Ro2km3gezHIwAbB52TPXmRNShk3OpU_3xSo?e=YmCU9d" TargetMode="External"/><Relationship Id="rId9" Type="http://schemas.openxmlformats.org/officeDocument/2006/relationships/hyperlink" Target="https://alimentika-my.sharepoint.com/:b:/g/personal/inventario_alimentika_cl/IQBemLhts_bhSr7rXfHLMm0tAaJy0ux7ngKXGwvkDNCKzWQ?e=23U2pb" TargetMode="External"/><Relationship Id="rId14" Type="http://schemas.openxmlformats.org/officeDocument/2006/relationships/hyperlink" Target="https://alimentika-my.sharepoint.com/:b:/g/personal/inventario_alimentika_cl/IQCsWDUdGzF4RqIenG1t81YCAVuLsZKHr5lJZ-X9z-bWOMM?e=DQlsVo" TargetMode="External"/><Relationship Id="rId22" Type="http://schemas.openxmlformats.org/officeDocument/2006/relationships/hyperlink" Target="https://alimentika-my.sharepoint.com/:b:/g/personal/inventario_alimentika_cl/IQDdJ4Q141FmTaf7Ez1oKxvGARUq9BWpmEh_Rsr2C5R3zh0?e=IibkoB" TargetMode="External"/><Relationship Id="rId27" Type="http://schemas.openxmlformats.org/officeDocument/2006/relationships/hyperlink" Target="https://alimentika-my.sharepoint.com/:b:/g/personal/inventario_alimentika_cl/IQD0DwJrcODHSZ4cVxZHDUszAdOUX0tksPz5niw9SNSE_90?e=fwNcEt" TargetMode="External"/><Relationship Id="rId30" Type="http://schemas.openxmlformats.org/officeDocument/2006/relationships/hyperlink" Target="https://alimentika-my.sharepoint.com/:b:/g/personal/inventario_alimentika_cl/IQDz_XTWsddqQq2f3cPBkommAdV-OS_6KDstpjD21wURTQE?e=EWBZad" TargetMode="External"/><Relationship Id="rId35" Type="http://schemas.openxmlformats.org/officeDocument/2006/relationships/hyperlink" Target="https://alimentika-my.sharepoint.com/:b:/g/personal/inventario_alimentika_cl/IQAfvxLY4T7NRKFZU1DOXl5uASm0_wTGc2lXyq3ob8fadyk?e=emsUoh" TargetMode="External"/><Relationship Id="rId8" Type="http://schemas.openxmlformats.org/officeDocument/2006/relationships/hyperlink" Target="https://alimentika-my.sharepoint.com/:b:/g/personal/inventario_alimentika_cl/IQDvO30eTlRcTq51470hjSoEAd3UnCD1cekY57G5F_imE2Q?e=nPJbhr" TargetMode="External"/><Relationship Id="rId3" Type="http://schemas.openxmlformats.org/officeDocument/2006/relationships/hyperlink" Target="https://alimentika-my.sharepoint.com/:b:/g/personal/inventario_alimentika_cl/IQBJBViIei8xQIzKKNsn2EgFARIezzswAdQOWSPSGwtgBAI?e=YqgWzw" TargetMode="External"/><Relationship Id="rId12" Type="http://schemas.openxmlformats.org/officeDocument/2006/relationships/hyperlink" Target="https://alimentika-my.sharepoint.com/:b:/g/personal/inventario_alimentika_cl/IQAcIhKN2ElsSbEB6I-tMf8VAdQqHrDDVlfS_jPNAXp-ruA?e=qYy140" TargetMode="External"/><Relationship Id="rId17" Type="http://schemas.openxmlformats.org/officeDocument/2006/relationships/hyperlink" Target="https://alimentika-my.sharepoint.com/:b:/g/personal/inventario_alimentika_cl/IQDCG80yeL9eQ41nctzNWPi2AZhrfnRJNggRsFXpw67gjEY?e=QxIeMw" TargetMode="External"/><Relationship Id="rId25" Type="http://schemas.openxmlformats.org/officeDocument/2006/relationships/hyperlink" Target="https://alimentika-my.sharepoint.com/:b:/g/personal/inventario_alimentika_cl/IQDjTScp905hTaiEJegpeAvfAZ9rXuRS1_ql7SIsodPBNu4?e=amff9F" TargetMode="External"/><Relationship Id="rId33" Type="http://schemas.openxmlformats.org/officeDocument/2006/relationships/hyperlink" Target="https://alimentika-my.sharepoint.com/:b:/g/personal/inventario_alimentika_cl/IQAjlctNxutVSKUMBQSyDUU9AeETCrhMETdlX6aBuz9wv2k?e=UZAwTq" TargetMode="External"/><Relationship Id="rId38" Type="http://schemas.openxmlformats.org/officeDocument/2006/relationships/hyperlink" Target="https://alimentika-my.sharepoint.com/:b:/g/personal/inventario_alimentika_cl/IQDmkOMT-K28TbXvXgPBzMt_Adrkd5BOtqFWGCqO7Bx5XZE?e=yynd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C47C-BCC8-4B7C-AA44-4BEC2727C4C3}">
  <dimension ref="A1:N232"/>
  <sheetViews>
    <sheetView tabSelected="1" topLeftCell="A58" zoomScale="102" zoomScaleNormal="102" workbookViewId="0">
      <selection activeCell="F158" sqref="F158"/>
    </sheetView>
  </sheetViews>
  <sheetFormatPr baseColWidth="10" defaultRowHeight="15" x14ac:dyDescent="0.25"/>
  <cols>
    <col min="2" max="2" width="82.42578125" bestFit="1" customWidth="1"/>
    <col min="3" max="3" width="13.7109375" customWidth="1"/>
    <col min="4" max="4" width="17.28515625" customWidth="1"/>
    <col min="5" max="8" width="16" customWidth="1"/>
    <col min="10" max="10" width="19" bestFit="1" customWidth="1"/>
    <col min="11" max="11" width="21.28515625" bestFit="1" customWidth="1"/>
    <col min="12" max="12" width="11.42578125" style="4"/>
    <col min="14" max="14" width="16" customWidth="1"/>
  </cols>
  <sheetData>
    <row r="1" spans="1:14" x14ac:dyDescent="0.25">
      <c r="A1" s="1" t="s">
        <v>156</v>
      </c>
      <c r="B1" s="1" t="s">
        <v>157</v>
      </c>
      <c r="C1" s="1" t="s">
        <v>158</v>
      </c>
      <c r="D1" s="1" t="s">
        <v>159</v>
      </c>
      <c r="E1" s="1" t="s">
        <v>235</v>
      </c>
      <c r="F1" s="1" t="s">
        <v>236</v>
      </c>
      <c r="G1" s="1" t="s">
        <v>160</v>
      </c>
      <c r="H1" s="1" t="s">
        <v>262</v>
      </c>
      <c r="I1" s="1" t="s">
        <v>260</v>
      </c>
      <c r="J1" s="1" t="s">
        <v>267</v>
      </c>
      <c r="K1" s="1" t="s">
        <v>269</v>
      </c>
      <c r="L1" s="3" t="s">
        <v>274</v>
      </c>
      <c r="M1" s="1" t="s">
        <v>275</v>
      </c>
      <c r="N1" s="1" t="s">
        <v>276</v>
      </c>
    </row>
    <row r="2" spans="1:14" x14ac:dyDescent="0.25">
      <c r="A2" s="1">
        <v>201001</v>
      </c>
      <c r="B2" t="s">
        <v>265</v>
      </c>
      <c r="C2" s="1" t="e" cm="1">
        <f t="array" aca="1" ref="C2" ca="1">_xlfn.LET(
_xlpm.texto,B2,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" s="1" t="e" cm="1">
        <f t="array" aca="1" ref="D2" ca="1">_xlfn.LET(
_xlpm.texto,B2,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" s="1" t="s">
        <v>163</v>
      </c>
      <c r="F2" s="1"/>
      <c r="G2" s="7" t="s">
        <v>279</v>
      </c>
      <c r="H2" s="1"/>
      <c r="I2" s="1"/>
      <c r="J2" s="1" t="s">
        <v>289</v>
      </c>
      <c r="K2" s="1"/>
      <c r="L2" s="3"/>
      <c r="M2" s="5">
        <v>0.16840329463133907</v>
      </c>
      <c r="N2" s="6">
        <f>IFERROR(Tabla1[[#This Row],[COSTO NETO]]/(1-Tabla1[[#This Row],[MARGEN]]),Tabla1[[#This Row],[COSTO NETO]])</f>
        <v>0</v>
      </c>
    </row>
    <row r="3" spans="1:14" x14ac:dyDescent="0.25">
      <c r="A3" s="1">
        <v>201002</v>
      </c>
      <c r="B3" t="s">
        <v>2</v>
      </c>
      <c r="C3" s="1" t="e" cm="1">
        <f t="array" aca="1" ref="C3" ca="1">_xlfn.LET(
_xlpm.texto,B3,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" s="1" t="e" cm="1">
        <f t="array" aca="1" ref="D3" ca="1">_xlfn.LET(
_xlpm.texto,B3,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" s="1" t="s">
        <v>164</v>
      </c>
      <c r="F3" s="1"/>
      <c r="G3" s="7" t="s">
        <v>279</v>
      </c>
      <c r="H3" s="1"/>
      <c r="I3" s="1"/>
      <c r="J3" s="1"/>
      <c r="K3" s="1"/>
      <c r="L3" s="3"/>
      <c r="M3" s="5">
        <v>0.15</v>
      </c>
      <c r="N3" s="6">
        <f>IFERROR(Tabla1[[#This Row],[COSTO NETO]]/(1-Tabla1[[#This Row],[MARGEN]]),Tabla1[[#This Row],[COSTO NETO]])</f>
        <v>0</v>
      </c>
    </row>
    <row r="4" spans="1:14" x14ac:dyDescent="0.25">
      <c r="A4" s="1">
        <v>201003</v>
      </c>
      <c r="B4" t="s">
        <v>3</v>
      </c>
      <c r="C4" s="1" t="e" cm="1">
        <f t="array" aca="1" ref="C4" ca="1">_xlfn.LET(
_xlpm.texto,B4,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" s="1" t="e" cm="1">
        <f t="array" aca="1" ref="D4" ca="1">_xlfn.LET(
_xlpm.texto,B4,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" s="1" t="s">
        <v>161</v>
      </c>
      <c r="F4" s="1"/>
      <c r="G4" s="7" t="s">
        <v>283</v>
      </c>
      <c r="H4" s="1"/>
      <c r="I4" s="1"/>
      <c r="J4" s="1" t="s">
        <v>286</v>
      </c>
      <c r="K4" s="1"/>
      <c r="L4" s="3"/>
      <c r="M4" s="5">
        <v>0.2226250160689035</v>
      </c>
      <c r="N4" s="6">
        <f>IFERROR(Tabla1[[#This Row],[COSTO NETO]]/(1-Tabla1[[#This Row],[MARGEN]]),Tabla1[[#This Row],[COSTO NETO]])</f>
        <v>0</v>
      </c>
    </row>
    <row r="5" spans="1:14" x14ac:dyDescent="0.25">
      <c r="A5" s="1">
        <v>201004</v>
      </c>
      <c r="B5" t="s">
        <v>4</v>
      </c>
      <c r="C5" s="1" t="e" cm="1">
        <f t="array" aca="1" ref="C5" ca="1">_xlfn.LET(
_xlpm.texto,B5,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" s="1" t="e" cm="1">
        <f t="array" aca="1" ref="D5" ca="1">_xlfn.LET(
_xlpm.texto,B5,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" s="1" t="s">
        <v>161</v>
      </c>
      <c r="F5" s="1"/>
      <c r="G5" s="7" t="s">
        <v>279</v>
      </c>
      <c r="H5" s="1"/>
      <c r="I5" s="1"/>
      <c r="J5" s="1" t="s">
        <v>286</v>
      </c>
      <c r="K5" s="1"/>
      <c r="L5" s="3"/>
      <c r="M5" s="5">
        <v>0.20722442210055814</v>
      </c>
      <c r="N5" s="6">
        <f>IFERROR(Tabla1[[#This Row],[COSTO NETO]]/(1-Tabla1[[#This Row],[MARGEN]]),Tabla1[[#This Row],[COSTO NETO]])</f>
        <v>0</v>
      </c>
    </row>
    <row r="6" spans="1:14" x14ac:dyDescent="0.25">
      <c r="A6" s="1">
        <v>201005</v>
      </c>
      <c r="B6" t="s">
        <v>5</v>
      </c>
      <c r="C6" s="1" t="e" cm="1">
        <f t="array" aca="1" ref="C6" ca="1">_xlfn.LET(
_xlpm.texto,B6,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" s="1" t="e" cm="1">
        <f t="array" aca="1" ref="D6" ca="1">_xlfn.LET(
_xlpm.texto,B6,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" s="1" t="s">
        <v>161</v>
      </c>
      <c r="F6" s="1"/>
      <c r="G6" s="7" t="s">
        <v>279</v>
      </c>
      <c r="H6" s="1"/>
      <c r="I6" s="1"/>
      <c r="J6" s="1" t="s">
        <v>286</v>
      </c>
      <c r="K6" s="1"/>
      <c r="L6" s="3"/>
      <c r="M6" s="5">
        <v>0.20722442210055814</v>
      </c>
      <c r="N6" s="6">
        <f>IFERROR(Tabla1[[#This Row],[COSTO NETO]]/(1-Tabla1[[#This Row],[MARGEN]]),Tabla1[[#This Row],[COSTO NETO]])</f>
        <v>0</v>
      </c>
    </row>
    <row r="7" spans="1:14" x14ac:dyDescent="0.25">
      <c r="A7" s="1">
        <v>201009</v>
      </c>
      <c r="B7" t="s">
        <v>0</v>
      </c>
      <c r="C7" s="1" t="e" cm="1">
        <f t="array" aca="1" ref="C7" ca="1">_xlfn.LET(
_xlpm.texto,B7,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" s="1" t="e" cm="1">
        <f t="array" aca="1" ref="D7" ca="1">_xlfn.LET(
_xlpm.texto,B7,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" s="1" t="s">
        <v>161</v>
      </c>
      <c r="F7" s="1"/>
      <c r="G7" s="7" t="s">
        <v>283</v>
      </c>
      <c r="H7" s="1"/>
      <c r="I7" s="1"/>
      <c r="J7" s="1" t="s">
        <v>286</v>
      </c>
      <c r="K7" s="1"/>
      <c r="L7" s="3">
        <v>13937</v>
      </c>
      <c r="M7" s="5">
        <v>0</v>
      </c>
      <c r="N7" s="6">
        <f>IFERROR(Tabla1[[#This Row],[COSTO NETO]]/(1-Tabla1[[#This Row],[MARGEN]]),Tabla1[[#This Row],[COSTO NETO]])</f>
        <v>13937</v>
      </c>
    </row>
    <row r="8" spans="1:14" x14ac:dyDescent="0.25">
      <c r="A8" s="1">
        <v>201011</v>
      </c>
      <c r="B8" t="s">
        <v>6</v>
      </c>
      <c r="C8" s="1" t="e" cm="1">
        <f t="array" aca="1" ref="C8" ca="1">_xlfn.LET(
_xlpm.texto,B8,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" s="1" t="e" cm="1">
        <f t="array" aca="1" ref="D8" ca="1">_xlfn.LET(
_xlpm.texto,B8,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" s="1" t="s">
        <v>165</v>
      </c>
      <c r="F8" s="1"/>
      <c r="G8" s="7" t="s">
        <v>279</v>
      </c>
      <c r="H8" s="1"/>
      <c r="I8" s="1"/>
      <c r="J8" s="1" t="s">
        <v>289</v>
      </c>
      <c r="K8" s="1"/>
      <c r="L8" s="3">
        <v>31300</v>
      </c>
      <c r="M8" s="5">
        <v>0.20722442210055814</v>
      </c>
      <c r="N8" s="6">
        <f>IFERROR(Tabla1[[#This Row],[COSTO NETO]]/(1-Tabla1[[#This Row],[MARGEN]]),Tabla1[[#This Row],[COSTO NETO]])</f>
        <v>39481.539129816876</v>
      </c>
    </row>
    <row r="9" spans="1:14" x14ac:dyDescent="0.25">
      <c r="A9" s="1">
        <v>201020</v>
      </c>
      <c r="B9" t="s">
        <v>167</v>
      </c>
      <c r="C9" s="1" t="e" cm="1">
        <f t="array" aca="1" ref="C9" ca="1">_xlfn.LET(
_xlpm.texto,B9,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" s="1" t="e" cm="1">
        <f t="array" aca="1" ref="D9" ca="1">_xlfn.LET(
_xlpm.texto,B9,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" s="1" t="s">
        <v>230</v>
      </c>
      <c r="F9" s="1"/>
      <c r="G9" s="7" t="s">
        <v>279</v>
      </c>
      <c r="H9" s="1"/>
      <c r="I9" s="1"/>
      <c r="J9" s="1"/>
      <c r="K9" s="1"/>
      <c r="L9" s="3"/>
      <c r="M9" s="5">
        <v>0.20722442210055814</v>
      </c>
      <c r="N9" s="6">
        <f>IFERROR(Tabla1[[#This Row],[COSTO NETO]]/(1-Tabla1[[#This Row],[MARGEN]]),Tabla1[[#This Row],[COSTO NETO]])</f>
        <v>0</v>
      </c>
    </row>
    <row r="10" spans="1:14" x14ac:dyDescent="0.25">
      <c r="A10" s="1">
        <v>201021</v>
      </c>
      <c r="B10" t="s">
        <v>7</v>
      </c>
      <c r="C10" s="1" t="e" cm="1">
        <f t="array" aca="1" ref="C10" ca="1">_xlfn.LET(
_xlpm.texto,B10,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" s="1" t="e" cm="1">
        <f t="array" aca="1" ref="D10" ca="1">_xlfn.LET(
_xlpm.texto,B10,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" s="1" t="s">
        <v>229</v>
      </c>
      <c r="F10" s="1"/>
      <c r="G10" s="7" t="s">
        <v>283</v>
      </c>
      <c r="H10" s="1"/>
      <c r="I10" s="1"/>
      <c r="J10" s="1"/>
      <c r="K10" s="1"/>
      <c r="L10" s="3"/>
      <c r="M10" s="5">
        <v>0</v>
      </c>
      <c r="N10" s="6">
        <f>IFERROR(Tabla1[[#This Row],[COSTO NETO]]/(1-Tabla1[[#This Row],[MARGEN]]),Tabla1[[#This Row],[COSTO NETO]])</f>
        <v>0</v>
      </c>
    </row>
    <row r="11" spans="1:14" x14ac:dyDescent="0.25">
      <c r="A11" s="1">
        <v>201022</v>
      </c>
      <c r="B11" t="s">
        <v>8</v>
      </c>
      <c r="C11" s="1" t="e" cm="1">
        <f t="array" aca="1" ref="C11" ca="1">_xlfn.LET(
_xlpm.texto,B11,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" s="1" t="e" cm="1">
        <f t="array" aca="1" ref="D11" ca="1">_xlfn.LET(
_xlpm.texto,B11,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" s="1" t="s">
        <v>230</v>
      </c>
      <c r="F11" s="1"/>
      <c r="G11" s="7" t="s">
        <v>279</v>
      </c>
      <c r="H11" s="1"/>
      <c r="I11" s="1"/>
      <c r="J11" s="1"/>
      <c r="K11" s="1"/>
      <c r="L11" s="3"/>
      <c r="M11" s="5">
        <v>0.20722442210055814</v>
      </c>
      <c r="N11" s="6">
        <f>IFERROR(Tabla1[[#This Row],[COSTO NETO]]/(1-Tabla1[[#This Row],[MARGEN]]),Tabla1[[#This Row],[COSTO NETO]])</f>
        <v>0</v>
      </c>
    </row>
    <row r="12" spans="1:14" x14ac:dyDescent="0.25">
      <c r="A12" s="1">
        <v>201024</v>
      </c>
      <c r="B12" t="s">
        <v>292</v>
      </c>
      <c r="C12" s="1" t="e" cm="1">
        <f t="array" aca="1" ref="C12" ca="1">_xlfn.LET(
_xlpm.texto,B12,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" s="1" t="e" cm="1">
        <f t="array" aca="1" ref="D12" ca="1">_xlfn.LET(
_xlpm.texto,B12,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" s="1" t="s">
        <v>228</v>
      </c>
      <c r="F12" s="1"/>
      <c r="G12" s="7" t="s">
        <v>283</v>
      </c>
      <c r="H12" s="1"/>
      <c r="I12" s="2" t="s">
        <v>261</v>
      </c>
      <c r="J12" s="1"/>
      <c r="K12" s="1"/>
      <c r="L12" s="3"/>
      <c r="M12" s="5">
        <v>0</v>
      </c>
      <c r="N12" s="6">
        <f>IFERROR(Tabla1[[#This Row],[COSTO NETO]]/(1-Tabla1[[#This Row],[MARGEN]]),Tabla1[[#This Row],[COSTO NETO]])</f>
        <v>0</v>
      </c>
    </row>
    <row r="13" spans="1:14" x14ac:dyDescent="0.25">
      <c r="A13" s="1">
        <v>201025</v>
      </c>
      <c r="B13" t="s">
        <v>166</v>
      </c>
      <c r="C13" s="1" t="e" cm="1">
        <f t="array" aca="1" ref="C13" ca="1">_xlfn.LET(
_xlpm.texto,B13,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" s="1" t="e" cm="1">
        <f t="array" aca="1" ref="D13" ca="1">_xlfn.LET(
_xlpm.texto,B13,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" s="1" t="s">
        <v>228</v>
      </c>
      <c r="F13" s="1"/>
      <c r="G13" s="8" t="s">
        <v>283</v>
      </c>
      <c r="H13" s="1"/>
      <c r="I13" s="2" t="s">
        <v>261</v>
      </c>
      <c r="J13" s="1"/>
      <c r="K13" s="1"/>
      <c r="L13" s="3"/>
      <c r="M13" s="5">
        <v>0</v>
      </c>
      <c r="N13" s="6">
        <f>IFERROR(Tabla1[[#This Row],[COSTO NETO]]/(1-Tabla1[[#This Row],[MARGEN]]),Tabla1[[#This Row],[COSTO NETO]])</f>
        <v>0</v>
      </c>
    </row>
    <row r="14" spans="1:14" x14ac:dyDescent="0.25">
      <c r="A14" s="1">
        <v>201026</v>
      </c>
      <c r="B14" t="s">
        <v>9</v>
      </c>
      <c r="C14" s="1" t="e" cm="1">
        <f t="array" aca="1" ref="C14" ca="1">_xlfn.LET(
_xlpm.texto,B14,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" s="1" t="e" cm="1">
        <f t="array" aca="1" ref="D14" ca="1">_xlfn.LET(
_xlpm.texto,B14,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" s="1" t="s">
        <v>228</v>
      </c>
      <c r="F14" s="1"/>
      <c r="G14" s="7" t="s">
        <v>283</v>
      </c>
      <c r="H14" s="1"/>
      <c r="I14" s="2" t="s">
        <v>261</v>
      </c>
      <c r="J14" s="1"/>
      <c r="K14" s="1"/>
      <c r="L14" s="3"/>
      <c r="M14" s="5">
        <v>0</v>
      </c>
      <c r="N14" s="6">
        <f>IFERROR(Tabla1[[#This Row],[COSTO NETO]]/(1-Tabla1[[#This Row],[MARGEN]]),Tabla1[[#This Row],[COSTO NETO]])</f>
        <v>0</v>
      </c>
    </row>
    <row r="15" spans="1:14" x14ac:dyDescent="0.25">
      <c r="A15" s="1">
        <v>201027</v>
      </c>
      <c r="B15" t="s">
        <v>10</v>
      </c>
      <c r="C15" s="1" t="e" cm="1">
        <f t="array" aca="1" ref="C15" ca="1">_xlfn.LET(
_xlpm.texto,B15,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" s="1" t="e" cm="1">
        <f t="array" aca="1" ref="D15" ca="1">_xlfn.LET(
_xlpm.texto,B15,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" s="1" t="s">
        <v>228</v>
      </c>
      <c r="F15" s="1"/>
      <c r="G15" s="7" t="s">
        <v>283</v>
      </c>
      <c r="H15" s="1"/>
      <c r="I15" s="2" t="s">
        <v>261</v>
      </c>
      <c r="J15" s="1"/>
      <c r="K15" s="1"/>
      <c r="L15" s="3"/>
      <c r="M15" s="5">
        <v>0</v>
      </c>
      <c r="N15" s="6">
        <f>IFERROR(Tabla1[[#This Row],[COSTO NETO]]/(1-Tabla1[[#This Row],[MARGEN]]),Tabla1[[#This Row],[COSTO NETO]])</f>
        <v>0</v>
      </c>
    </row>
    <row r="16" spans="1:14" x14ac:dyDescent="0.25">
      <c r="A16" s="1">
        <v>201028</v>
      </c>
      <c r="B16" t="s">
        <v>11</v>
      </c>
      <c r="C16" s="1" t="e" cm="1">
        <f t="array" aca="1" ref="C16" ca="1">_xlfn.LET(
_xlpm.texto,B16,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" s="1" t="e" cm="1">
        <f t="array" aca="1" ref="D16" ca="1">_xlfn.LET(
_xlpm.texto,B16,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" s="1" t="s">
        <v>163</v>
      </c>
      <c r="F16" s="1"/>
      <c r="G16" s="7" t="s">
        <v>283</v>
      </c>
      <c r="H16" s="1"/>
      <c r="I16" s="1"/>
      <c r="J16" s="1" t="s">
        <v>289</v>
      </c>
      <c r="K16" s="1"/>
      <c r="L16" s="3"/>
      <c r="M16" s="5">
        <v>0</v>
      </c>
      <c r="N16" s="6">
        <f>IFERROR(Tabla1[[#This Row],[COSTO NETO]]/(1-Tabla1[[#This Row],[MARGEN]]),Tabla1[[#This Row],[COSTO NETO]])</f>
        <v>0</v>
      </c>
    </row>
    <row r="17" spans="1:14" x14ac:dyDescent="0.25">
      <c r="A17" s="1">
        <v>202001</v>
      </c>
      <c r="B17" t="s">
        <v>12</v>
      </c>
      <c r="C17" s="1" t="e" cm="1">
        <f t="array" aca="1" ref="C17" ca="1">_xlfn.LET(
_xlpm.texto,B17,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" s="1" t="e" cm="1">
        <f t="array" aca="1" ref="D17" ca="1">_xlfn.LET(
_xlpm.texto,B17,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" s="1" t="s">
        <v>238</v>
      </c>
      <c r="F17" s="1"/>
      <c r="G17" s="7" t="s">
        <v>279</v>
      </c>
      <c r="H17" s="1"/>
      <c r="I17" s="1"/>
      <c r="J17" s="1"/>
      <c r="K17" s="1"/>
      <c r="L17" s="3"/>
      <c r="M17" s="5">
        <v>0.20722442210055814</v>
      </c>
      <c r="N17" s="6">
        <f>IFERROR(Tabla1[[#This Row],[COSTO NETO]]/(1-Tabla1[[#This Row],[MARGEN]]),Tabla1[[#This Row],[COSTO NETO]])</f>
        <v>0</v>
      </c>
    </row>
    <row r="18" spans="1:14" x14ac:dyDescent="0.25">
      <c r="A18" s="1">
        <v>202002</v>
      </c>
      <c r="B18" t="s">
        <v>13</v>
      </c>
      <c r="C18" s="1" t="e" cm="1">
        <f t="array" aca="1" ref="C18" ca="1">_xlfn.LET(
_xlpm.texto,B18,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" s="1" t="e" cm="1">
        <f t="array" aca="1" ref="D18" ca="1">_xlfn.LET(
_xlpm.texto,B18,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" s="1" t="s">
        <v>238</v>
      </c>
      <c r="F18" s="1"/>
      <c r="G18" s="7" t="s">
        <v>283</v>
      </c>
      <c r="H18" s="1"/>
      <c r="I18" s="1"/>
      <c r="J18" s="1"/>
      <c r="K18" s="1"/>
      <c r="L18" s="3"/>
      <c r="M18" s="5">
        <v>0.20722442210055814</v>
      </c>
      <c r="N18" s="6">
        <f>IFERROR(Tabla1[[#This Row],[COSTO NETO]]/(1-Tabla1[[#This Row],[MARGEN]]),Tabla1[[#This Row],[COSTO NETO]])</f>
        <v>0</v>
      </c>
    </row>
    <row r="19" spans="1:14" x14ac:dyDescent="0.25">
      <c r="A19" s="1">
        <v>202003</v>
      </c>
      <c r="B19" t="s">
        <v>180</v>
      </c>
      <c r="C19" s="1" t="e" cm="1">
        <f t="array" aca="1" ref="C19" ca="1">_xlfn.LET(
_xlpm.texto,B19,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" s="1" t="e" cm="1">
        <f t="array" aca="1" ref="D19" ca="1">_xlfn.LET(
_xlpm.texto,B19,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" s="1" t="s">
        <v>238</v>
      </c>
      <c r="F19" s="1"/>
      <c r="G19" s="7" t="s">
        <v>279</v>
      </c>
      <c r="H19" s="1"/>
      <c r="I19" s="1"/>
      <c r="J19" s="1"/>
      <c r="K19" s="1"/>
      <c r="L19" s="3"/>
      <c r="M19" s="5">
        <v>0.20722442210055814</v>
      </c>
      <c r="N19" s="6">
        <f>IFERROR(Tabla1[[#This Row],[COSTO NETO]]/(1-Tabla1[[#This Row],[MARGEN]]),Tabla1[[#This Row],[COSTO NETO]])</f>
        <v>0</v>
      </c>
    </row>
    <row r="20" spans="1:14" x14ac:dyDescent="0.25">
      <c r="A20" s="1">
        <v>202004</v>
      </c>
      <c r="B20" t="s">
        <v>179</v>
      </c>
      <c r="C20" s="1" t="e" cm="1">
        <f t="array" aca="1" ref="C20" ca="1">_xlfn.LET(
_xlpm.texto,B20,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" s="1" t="e" cm="1">
        <f t="array" aca="1" ref="D20" ca="1">_xlfn.LET(
_xlpm.texto,B20,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" s="1" t="s">
        <v>238</v>
      </c>
      <c r="F20" s="1"/>
      <c r="G20" s="7" t="s">
        <v>283</v>
      </c>
      <c r="H20" s="1"/>
      <c r="I20" s="1"/>
      <c r="J20" s="1"/>
      <c r="K20" s="1"/>
      <c r="L20" s="3"/>
      <c r="M20" s="5">
        <v>0.20722442210055814</v>
      </c>
      <c r="N20" s="6">
        <f>IFERROR(Tabla1[[#This Row],[COSTO NETO]]/(1-Tabla1[[#This Row],[MARGEN]]),Tabla1[[#This Row],[COSTO NETO]])</f>
        <v>0</v>
      </c>
    </row>
    <row r="21" spans="1:14" x14ac:dyDescent="0.25">
      <c r="A21" s="1">
        <v>203001</v>
      </c>
      <c r="B21" t="s">
        <v>14</v>
      </c>
      <c r="C21" s="1" t="e" cm="1">
        <f t="array" aca="1" ref="C21" ca="1">_xlfn.LET(
_xlpm.texto,B21,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" s="1" t="e" cm="1">
        <f t="array" aca="1" ref="D21" ca="1">_xlfn.LET(
_xlpm.texto,B21,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" s="1" t="s">
        <v>238</v>
      </c>
      <c r="F21" s="1"/>
      <c r="G21" s="7" t="s">
        <v>283</v>
      </c>
      <c r="H21" s="1"/>
      <c r="I21" s="1"/>
      <c r="J21" s="1"/>
      <c r="K21" s="1"/>
      <c r="L21" s="3">
        <v>25953.15</v>
      </c>
      <c r="M21" s="5">
        <v>0.17</v>
      </c>
      <c r="N21" s="6">
        <f>IFERROR(Tabla1[[#This Row],[COSTO NETO]]/(1-Tabla1[[#This Row],[MARGEN]]),Tabla1[[#This Row],[COSTO NETO]])</f>
        <v>31268.855421686749</v>
      </c>
    </row>
    <row r="22" spans="1:14" x14ac:dyDescent="0.25">
      <c r="A22" s="1">
        <v>203003</v>
      </c>
      <c r="B22" t="s">
        <v>15</v>
      </c>
      <c r="C22" s="1" t="e" cm="1">
        <f t="array" aca="1" ref="C22" ca="1">_xlfn.LET(
_xlpm.texto,B22,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" s="1" t="e" cm="1">
        <f t="array" aca="1" ref="D22" ca="1">_xlfn.LET(
_xlpm.texto,B22,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" s="1" t="s">
        <v>239</v>
      </c>
      <c r="F22" s="1"/>
      <c r="G22" s="7" t="s">
        <v>283</v>
      </c>
      <c r="H22" s="1"/>
      <c r="I22" s="2" t="s">
        <v>261</v>
      </c>
      <c r="J22" s="1"/>
      <c r="K22" s="1"/>
      <c r="L22" s="3"/>
      <c r="M22" s="5">
        <v>0.20856864654333007</v>
      </c>
      <c r="N22" s="6">
        <f>IFERROR(Tabla1[[#This Row],[COSTO NETO]]/(1-Tabla1[[#This Row],[MARGEN]]),Tabla1[[#This Row],[COSTO NETO]])</f>
        <v>0</v>
      </c>
    </row>
    <row r="23" spans="1:14" x14ac:dyDescent="0.25">
      <c r="A23" s="1">
        <v>203004</v>
      </c>
      <c r="B23" t="s">
        <v>16</v>
      </c>
      <c r="C23" s="1" t="e" cm="1">
        <f t="array" aca="1" ref="C23" ca="1">_xlfn.LET(
_xlpm.texto,B23,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3" s="1" t="e" cm="1">
        <f t="array" aca="1" ref="D23" ca="1">_xlfn.LET(
_xlpm.texto,B23,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3" s="1" t="s">
        <v>238</v>
      </c>
      <c r="F23" s="1"/>
      <c r="G23" s="7" t="s">
        <v>279</v>
      </c>
      <c r="H23" s="1"/>
      <c r="I23" s="1"/>
      <c r="J23" s="1"/>
      <c r="K23" s="1"/>
      <c r="L23" s="3"/>
      <c r="M23" s="5">
        <v>0.20465978289647868</v>
      </c>
      <c r="N23" s="6">
        <f>IFERROR(Tabla1[[#This Row],[COSTO NETO]]/(1-Tabla1[[#This Row],[MARGEN]]),Tabla1[[#This Row],[COSTO NETO]])</f>
        <v>0</v>
      </c>
    </row>
    <row r="24" spans="1:14" x14ac:dyDescent="0.25">
      <c r="A24" s="1">
        <v>203005</v>
      </c>
      <c r="B24" t="s">
        <v>17</v>
      </c>
      <c r="C24" s="1" t="e" cm="1">
        <f t="array" aca="1" ref="C24" ca="1">_xlfn.LET(
_xlpm.texto,B24,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4" s="1" t="e" cm="1">
        <f t="array" aca="1" ref="D24" ca="1">_xlfn.LET(
_xlpm.texto,B24,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4" s="1" t="s">
        <v>238</v>
      </c>
      <c r="F24" s="1"/>
      <c r="G24" s="7" t="s">
        <v>283</v>
      </c>
      <c r="H24" s="1"/>
      <c r="I24" s="1"/>
      <c r="J24" s="1"/>
      <c r="K24" s="1"/>
      <c r="L24" s="3"/>
      <c r="M24" s="5">
        <v>0.20200054169562309</v>
      </c>
      <c r="N24" s="6">
        <f>IFERROR(Tabla1[[#This Row],[COSTO NETO]]/(1-Tabla1[[#This Row],[MARGEN]]),Tabla1[[#This Row],[COSTO NETO]])</f>
        <v>0</v>
      </c>
    </row>
    <row r="25" spans="1:14" x14ac:dyDescent="0.25">
      <c r="A25" s="1">
        <v>203006</v>
      </c>
      <c r="B25" t="s">
        <v>18</v>
      </c>
      <c r="C25" s="1" t="e" cm="1">
        <f t="array" aca="1" ref="C25" ca="1">_xlfn.LET(
_xlpm.texto,B25,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5" s="1" t="e" cm="1">
        <f t="array" aca="1" ref="D25" ca="1">_xlfn.LET(
_xlpm.texto,B25,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5" s="1" t="s">
        <v>238</v>
      </c>
      <c r="F25" s="1"/>
      <c r="G25" s="7" t="s">
        <v>279</v>
      </c>
      <c r="H25" s="1"/>
      <c r="I25" s="1"/>
      <c r="J25" s="1"/>
      <c r="K25" s="1"/>
      <c r="L25" s="3"/>
      <c r="M25" s="5">
        <v>0.20176716375635761</v>
      </c>
      <c r="N25" s="6">
        <f>IFERROR(Tabla1[[#This Row],[COSTO NETO]]/(1-Tabla1[[#This Row],[MARGEN]]),Tabla1[[#This Row],[COSTO NETO]])</f>
        <v>0</v>
      </c>
    </row>
    <row r="26" spans="1:14" x14ac:dyDescent="0.25">
      <c r="A26" s="1">
        <v>205004</v>
      </c>
      <c r="B26" t="s">
        <v>19</v>
      </c>
      <c r="C26" s="1" t="e" cm="1">
        <f t="array" aca="1" ref="C26" ca="1">_xlfn.LET(
_xlpm.texto,B26,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6" s="1" t="e" cm="1">
        <f t="array" aca="1" ref="D26" ca="1">_xlfn.LET(
_xlpm.texto,B26,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6" s="1" t="s">
        <v>230</v>
      </c>
      <c r="F26" s="1"/>
      <c r="G26" s="7" t="s">
        <v>279</v>
      </c>
      <c r="H26" s="1"/>
      <c r="I26" s="1"/>
      <c r="J26" s="1"/>
      <c r="K26" s="1"/>
      <c r="L26" s="3"/>
      <c r="M26" s="5">
        <v>0.25402371876323593</v>
      </c>
      <c r="N26" s="6">
        <f>IFERROR(Tabla1[[#This Row],[COSTO NETO]]/(1-Tabla1[[#This Row],[MARGEN]]),Tabla1[[#This Row],[COSTO NETO]])</f>
        <v>0</v>
      </c>
    </row>
    <row r="27" spans="1:14" x14ac:dyDescent="0.25">
      <c r="A27" s="1">
        <v>205005</v>
      </c>
      <c r="B27" t="s">
        <v>171</v>
      </c>
      <c r="C27" s="1" t="e" cm="1">
        <f t="array" aca="1" ref="C27" ca="1">_xlfn.LET(
_xlpm.texto,B27,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7" s="1" t="e" cm="1">
        <f t="array" aca="1" ref="D27" ca="1">_xlfn.LET(
_xlpm.texto,B27,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7" s="1" t="s">
        <v>230</v>
      </c>
      <c r="F27" s="1"/>
      <c r="G27" s="7" t="s">
        <v>279</v>
      </c>
      <c r="H27" s="1"/>
      <c r="I27" s="1"/>
      <c r="J27" s="1"/>
      <c r="K27" s="1"/>
      <c r="L27" s="3"/>
      <c r="M27" s="5">
        <v>0.29166666666666663</v>
      </c>
      <c r="N27" s="6">
        <f>IFERROR(Tabla1[[#This Row],[COSTO NETO]]/(1-Tabla1[[#This Row],[MARGEN]]),Tabla1[[#This Row],[COSTO NETO]])</f>
        <v>0</v>
      </c>
    </row>
    <row r="28" spans="1:14" x14ac:dyDescent="0.25">
      <c r="A28" s="1">
        <v>206001</v>
      </c>
      <c r="B28" t="s">
        <v>20</v>
      </c>
      <c r="C28" s="1" t="e" cm="1">
        <f t="array" aca="1" ref="C28" ca="1">_xlfn.LET(
_xlpm.texto,B28,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8" s="1" t="e" cm="1">
        <f t="array" aca="1" ref="D28" ca="1">_xlfn.LET(
_xlpm.texto,B28,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8" s="1" t="s">
        <v>238</v>
      </c>
      <c r="F28" s="1"/>
      <c r="G28" s="7" t="s">
        <v>283</v>
      </c>
      <c r="H28" s="1"/>
      <c r="I28" s="1"/>
      <c r="J28" s="1"/>
      <c r="K28" s="1"/>
      <c r="L28" s="3"/>
      <c r="M28" s="5">
        <v>0.2067531153802552</v>
      </c>
      <c r="N28" s="6">
        <f>IFERROR(Tabla1[[#This Row],[COSTO NETO]]/(1-Tabla1[[#This Row],[MARGEN]]),Tabla1[[#This Row],[COSTO NETO]])</f>
        <v>0</v>
      </c>
    </row>
    <row r="29" spans="1:14" x14ac:dyDescent="0.25">
      <c r="A29" s="1">
        <v>206002</v>
      </c>
      <c r="B29" t="s">
        <v>21</v>
      </c>
      <c r="C29" s="1" t="e" cm="1">
        <f t="array" aca="1" ref="C29" ca="1">_xlfn.LET(
_xlpm.texto,B29,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9" s="1" t="e" cm="1">
        <f t="array" aca="1" ref="D29" ca="1">_xlfn.LET(
_xlpm.texto,B29,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9" s="1" t="s">
        <v>238</v>
      </c>
      <c r="F29" s="1"/>
      <c r="G29" s="7" t="s">
        <v>279</v>
      </c>
      <c r="H29" s="1"/>
      <c r="I29" s="1"/>
      <c r="J29" s="1"/>
      <c r="K29" s="1"/>
      <c r="L29" s="3"/>
      <c r="M29" s="5">
        <v>0.20339113680154142</v>
      </c>
      <c r="N29" s="6">
        <f>IFERROR(Tabla1[[#This Row],[COSTO NETO]]/(1-Tabla1[[#This Row],[MARGEN]]),Tabla1[[#This Row],[COSTO NETO]])</f>
        <v>0</v>
      </c>
    </row>
    <row r="30" spans="1:14" x14ac:dyDescent="0.25">
      <c r="A30" s="1">
        <v>206003</v>
      </c>
      <c r="B30" t="s">
        <v>22</v>
      </c>
      <c r="C30" s="1" t="e" cm="1">
        <f t="array" aca="1" ref="C30" ca="1">_xlfn.LET(
_xlpm.texto,B30,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0" s="1" t="e" cm="1">
        <f t="array" aca="1" ref="D30" ca="1">_xlfn.LET(
_xlpm.texto,B30,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0" s="1" t="s">
        <v>238</v>
      </c>
      <c r="F30" s="1"/>
      <c r="G30" s="7" t="s">
        <v>279</v>
      </c>
      <c r="H30" s="1"/>
      <c r="I30" s="1"/>
      <c r="J30" s="1"/>
      <c r="K30" s="1"/>
      <c r="L30" s="3"/>
      <c r="M30" s="5">
        <v>0.20361215634373486</v>
      </c>
      <c r="N30" s="6">
        <f>IFERROR(Tabla1[[#This Row],[COSTO NETO]]/(1-Tabla1[[#This Row],[MARGEN]]),Tabla1[[#This Row],[COSTO NETO]])</f>
        <v>0</v>
      </c>
    </row>
    <row r="31" spans="1:14" x14ac:dyDescent="0.25">
      <c r="A31" s="1">
        <v>206004</v>
      </c>
      <c r="B31" t="s">
        <v>23</v>
      </c>
      <c r="C31" s="1" t="e" cm="1">
        <f t="array" aca="1" ref="C31" ca="1">_xlfn.LET(
_xlpm.texto,B31,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1" s="1" t="e" cm="1">
        <f t="array" aca="1" ref="D31" ca="1">_xlfn.LET(
_xlpm.texto,B31,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1" s="1" t="s">
        <v>238</v>
      </c>
      <c r="F31" s="1"/>
      <c r="G31" s="7" t="s">
        <v>279</v>
      </c>
      <c r="H31" s="1"/>
      <c r="I31" s="1"/>
      <c r="J31" s="1"/>
      <c r="K31" s="1"/>
      <c r="L31" s="3"/>
      <c r="M31" s="5">
        <v>0.20593391773432235</v>
      </c>
      <c r="N31" s="6">
        <f>IFERROR(Tabla1[[#This Row],[COSTO NETO]]/(1-Tabla1[[#This Row],[MARGEN]]),Tabla1[[#This Row],[COSTO NETO]])</f>
        <v>0</v>
      </c>
    </row>
    <row r="32" spans="1:14" x14ac:dyDescent="0.25">
      <c r="A32" s="1">
        <v>206005</v>
      </c>
      <c r="B32" t="s">
        <v>24</v>
      </c>
      <c r="C32" s="1" t="e" cm="1">
        <f t="array" aca="1" ref="C32" ca="1">_xlfn.LET(
_xlpm.texto,B32,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2" s="1" t="e" cm="1">
        <f t="array" aca="1" ref="D32" ca="1">_xlfn.LET(
_xlpm.texto,B32,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2" s="1" t="s">
        <v>238</v>
      </c>
      <c r="F32" s="1"/>
      <c r="G32" s="7" t="s">
        <v>279</v>
      </c>
      <c r="H32" s="1"/>
      <c r="I32" s="1"/>
      <c r="J32" s="1"/>
      <c r="K32" s="1"/>
      <c r="L32" s="3"/>
      <c r="M32" s="5">
        <v>0.20488308432572544</v>
      </c>
      <c r="N32" s="6">
        <f>IFERROR(Tabla1[[#This Row],[COSTO NETO]]/(1-Tabla1[[#This Row],[MARGEN]]),Tabla1[[#This Row],[COSTO NETO]])</f>
        <v>0</v>
      </c>
    </row>
    <row r="33" spans="1:14" x14ac:dyDescent="0.25">
      <c r="A33" s="1">
        <v>206006</v>
      </c>
      <c r="B33" t="s">
        <v>25</v>
      </c>
      <c r="C33" s="1" t="e" cm="1">
        <f t="array" aca="1" ref="C33" ca="1">_xlfn.LET(
_xlpm.texto,B33,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3" s="1" t="e" cm="1">
        <f t="array" aca="1" ref="D33" ca="1">_xlfn.LET(
_xlpm.texto,B33,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3" s="1" t="s">
        <v>238</v>
      </c>
      <c r="F33" s="1"/>
      <c r="G33" s="7" t="s">
        <v>279</v>
      </c>
      <c r="H33" s="1"/>
      <c r="I33" s="1"/>
      <c r="J33" s="1"/>
      <c r="K33" s="1"/>
      <c r="L33" s="3"/>
      <c r="M33" s="5">
        <v>0.20305449496702532</v>
      </c>
      <c r="N33" s="6">
        <f>IFERROR(Tabla1[[#This Row],[COSTO NETO]]/(1-Tabla1[[#This Row],[MARGEN]]),Tabla1[[#This Row],[COSTO NETO]])</f>
        <v>0</v>
      </c>
    </row>
    <row r="34" spans="1:14" x14ac:dyDescent="0.25">
      <c r="A34" s="1">
        <v>206007</v>
      </c>
      <c r="B34" t="s">
        <v>181</v>
      </c>
      <c r="C34" s="1" t="e" cm="1">
        <f t="array" aca="1" ref="C34" ca="1">_xlfn.LET(
_xlpm.texto,B34,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4" s="1" t="e" cm="1">
        <f t="array" aca="1" ref="D34" ca="1">_xlfn.LET(
_xlpm.texto,B34,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4" s="1" t="s">
        <v>238</v>
      </c>
      <c r="F34" s="1"/>
      <c r="G34" s="7" t="s">
        <v>283</v>
      </c>
      <c r="H34" s="1"/>
      <c r="I34" s="1"/>
      <c r="J34" s="1"/>
      <c r="K34" s="1"/>
      <c r="L34" s="3"/>
      <c r="M34" s="5">
        <v>0.20186874540998256</v>
      </c>
      <c r="N34" s="6">
        <f>IFERROR(Tabla1[[#This Row],[COSTO NETO]]/(1-Tabla1[[#This Row],[MARGEN]]),Tabla1[[#This Row],[COSTO NETO]])</f>
        <v>0</v>
      </c>
    </row>
    <row r="35" spans="1:14" x14ac:dyDescent="0.25">
      <c r="A35" s="1">
        <v>206008</v>
      </c>
      <c r="B35" t="s">
        <v>182</v>
      </c>
      <c r="C35" s="1" t="e" cm="1">
        <f t="array" aca="1" ref="C35" ca="1">_xlfn.LET(
_xlpm.texto,B35,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5" s="1" t="e" cm="1">
        <f t="array" aca="1" ref="D35" ca="1">_xlfn.LET(
_xlpm.texto,B35,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5" s="1" t="s">
        <v>238</v>
      </c>
      <c r="F35" s="1"/>
      <c r="G35" s="7" t="s">
        <v>283</v>
      </c>
      <c r="H35" s="1"/>
      <c r="I35" s="1"/>
      <c r="J35" s="1"/>
      <c r="K35" s="1"/>
      <c r="L35" s="3"/>
      <c r="M35" s="5">
        <v>0.20234546787197649</v>
      </c>
      <c r="N35" s="6">
        <f>IFERROR(Tabla1[[#This Row],[COSTO NETO]]/(1-Tabla1[[#This Row],[MARGEN]]),Tabla1[[#This Row],[COSTO NETO]])</f>
        <v>0</v>
      </c>
    </row>
    <row r="36" spans="1:14" x14ac:dyDescent="0.25">
      <c r="A36" s="1">
        <v>206014</v>
      </c>
      <c r="B36" t="s">
        <v>26</v>
      </c>
      <c r="C36" s="1" t="e" cm="1">
        <f t="array" aca="1" ref="C36" ca="1">_xlfn.LET(
_xlpm.texto,B36,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6" s="1" t="e" cm="1">
        <f t="array" aca="1" ref="D36" ca="1">_xlfn.LET(
_xlpm.texto,B36,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6" s="1" t="s">
        <v>240</v>
      </c>
      <c r="F36" s="1"/>
      <c r="G36" s="7" t="s">
        <v>283</v>
      </c>
      <c r="H36" s="1"/>
      <c r="I36" s="2" t="s">
        <v>261</v>
      </c>
      <c r="J36" s="1"/>
      <c r="K36" s="1"/>
      <c r="L36" s="3"/>
      <c r="M36" s="5">
        <v>0</v>
      </c>
      <c r="N36" s="6">
        <f>IFERROR(Tabla1[[#This Row],[COSTO NETO]]/(1-Tabla1[[#This Row],[MARGEN]]),Tabla1[[#This Row],[COSTO NETO]])</f>
        <v>0</v>
      </c>
    </row>
    <row r="37" spans="1:14" x14ac:dyDescent="0.25">
      <c r="A37" s="1">
        <v>206015</v>
      </c>
      <c r="B37" t="s">
        <v>27</v>
      </c>
      <c r="C37" s="1" t="e" cm="1">
        <f t="array" aca="1" ref="C37" ca="1">_xlfn.LET(
_xlpm.texto,B37,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7" s="1" t="e" cm="1">
        <f t="array" aca="1" ref="D37" ca="1">_xlfn.LET(
_xlpm.texto,B37,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7" s="1" t="s">
        <v>240</v>
      </c>
      <c r="F37" s="1"/>
      <c r="G37" s="7" t="s">
        <v>283</v>
      </c>
      <c r="H37" s="1"/>
      <c r="I37" s="2" t="s">
        <v>261</v>
      </c>
      <c r="J37" s="1"/>
      <c r="K37" s="1"/>
      <c r="L37" s="3"/>
      <c r="M37" s="5">
        <v>0</v>
      </c>
      <c r="N37" s="6">
        <f>IFERROR(Tabla1[[#This Row],[COSTO NETO]]/(1-Tabla1[[#This Row],[MARGEN]]),Tabla1[[#This Row],[COSTO NETO]])</f>
        <v>0</v>
      </c>
    </row>
    <row r="38" spans="1:14" x14ac:dyDescent="0.25">
      <c r="A38" s="1">
        <v>207002</v>
      </c>
      <c r="B38" t="s">
        <v>28</v>
      </c>
      <c r="C38" s="1" t="e" cm="1">
        <f t="array" aca="1" ref="C38" ca="1">_xlfn.LET(
_xlpm.texto,B38,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8" s="1" t="e" cm="1">
        <f t="array" aca="1" ref="D38" ca="1">_xlfn.LET(
_xlpm.texto,B38,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8" s="1" t="s">
        <v>230</v>
      </c>
      <c r="F38" s="1"/>
      <c r="G38" s="7" t="s">
        <v>283</v>
      </c>
      <c r="H38" s="1"/>
      <c r="I38" s="1"/>
      <c r="J38" s="1"/>
      <c r="K38" s="1"/>
      <c r="L38" s="3"/>
      <c r="M38" s="5">
        <v>0.2087514295659092</v>
      </c>
      <c r="N38" s="6">
        <f>IFERROR(Tabla1[[#This Row],[COSTO NETO]]/(1-Tabla1[[#This Row],[MARGEN]]),Tabla1[[#This Row],[COSTO NETO]])</f>
        <v>0</v>
      </c>
    </row>
    <row r="39" spans="1:14" x14ac:dyDescent="0.25">
      <c r="A39" s="1">
        <v>207003</v>
      </c>
      <c r="B39" t="s">
        <v>197</v>
      </c>
      <c r="C39" s="1" t="e" cm="1">
        <f t="array" aca="1" ref="C39" ca="1">_xlfn.LET(
_xlpm.texto,B39,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39" s="1" t="e" cm="1">
        <f t="array" aca="1" ref="D39" ca="1">_xlfn.LET(
_xlpm.texto,B39,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39" s="1" t="s">
        <v>238</v>
      </c>
      <c r="F39" s="1"/>
      <c r="G39" s="7" t="s">
        <v>279</v>
      </c>
      <c r="H39" s="1"/>
      <c r="I39" s="1"/>
      <c r="J39" s="1"/>
      <c r="K39" s="1"/>
      <c r="L39" s="3"/>
      <c r="M39" s="5">
        <v>0.2047517045838767</v>
      </c>
      <c r="N39" s="6">
        <f>IFERROR(Tabla1[[#This Row],[COSTO NETO]]/(1-Tabla1[[#This Row],[MARGEN]]),Tabla1[[#This Row],[COSTO NETO]])</f>
        <v>0</v>
      </c>
    </row>
    <row r="40" spans="1:14" x14ac:dyDescent="0.25">
      <c r="A40" s="1">
        <v>207005</v>
      </c>
      <c r="B40" t="s">
        <v>195</v>
      </c>
      <c r="C40" s="1" t="e" cm="1">
        <f t="array" aca="1" ref="C40" ca="1">_xlfn.LET(
_xlpm.texto,B40,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0" s="1" t="e" cm="1">
        <f t="array" aca="1" ref="D40" ca="1">_xlfn.LET(
_xlpm.texto,B40,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0" s="1" t="s">
        <v>238</v>
      </c>
      <c r="F40" s="1"/>
      <c r="G40" s="7" t="s">
        <v>283</v>
      </c>
      <c r="H40" s="1"/>
      <c r="I40" s="1"/>
      <c r="J40" s="1"/>
      <c r="K40" s="1"/>
      <c r="L40" s="3"/>
      <c r="M40" s="5">
        <v>0.20380198019801976</v>
      </c>
      <c r="N40" s="6">
        <f>IFERROR(Tabla1[[#This Row],[COSTO NETO]]/(1-Tabla1[[#This Row],[MARGEN]]),Tabla1[[#This Row],[COSTO NETO]])</f>
        <v>0</v>
      </c>
    </row>
    <row r="41" spans="1:14" x14ac:dyDescent="0.25">
      <c r="A41" s="1">
        <v>207007</v>
      </c>
      <c r="B41" t="s">
        <v>198</v>
      </c>
      <c r="C41" s="1" t="e" cm="1">
        <f t="array" aca="1" ref="C41" ca="1">_xlfn.LET(
_xlpm.texto,B41,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1" s="1" t="e" cm="1">
        <f t="array" aca="1" ref="D41" ca="1">_xlfn.LET(
_xlpm.texto,B41,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1" s="1" t="s">
        <v>238</v>
      </c>
      <c r="F41" s="1"/>
      <c r="G41" s="7" t="s">
        <v>279</v>
      </c>
      <c r="H41" s="1"/>
      <c r="I41" s="1"/>
      <c r="J41" s="1"/>
      <c r="K41" s="1"/>
      <c r="L41" s="3"/>
      <c r="M41" s="5">
        <v>0.20272928515315125</v>
      </c>
      <c r="N41" s="6">
        <f>IFERROR(Tabla1[[#This Row],[COSTO NETO]]/(1-Tabla1[[#This Row],[MARGEN]]),Tabla1[[#This Row],[COSTO NETO]])</f>
        <v>0</v>
      </c>
    </row>
    <row r="42" spans="1:14" x14ac:dyDescent="0.25">
      <c r="A42" s="1">
        <v>207008</v>
      </c>
      <c r="B42" t="s">
        <v>196</v>
      </c>
      <c r="C42" s="1" t="e" cm="1">
        <f t="array" aca="1" ref="C42" ca="1">_xlfn.LET(
_xlpm.texto,B42,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2" s="1" t="e" cm="1">
        <f t="array" aca="1" ref="D42" ca="1">_xlfn.LET(
_xlpm.texto,B42,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2" s="1" t="s">
        <v>238</v>
      </c>
      <c r="F42" s="1"/>
      <c r="G42" s="7" t="s">
        <v>283</v>
      </c>
      <c r="H42" s="1"/>
      <c r="I42" s="1"/>
      <c r="J42" s="1"/>
      <c r="K42" s="1"/>
      <c r="L42" s="3"/>
      <c r="M42" s="5">
        <v>0.20533965854869407</v>
      </c>
      <c r="N42" s="6">
        <f>IFERROR(Tabla1[[#This Row],[COSTO NETO]]/(1-Tabla1[[#This Row],[MARGEN]]),Tabla1[[#This Row],[COSTO NETO]])</f>
        <v>0</v>
      </c>
    </row>
    <row r="43" spans="1:14" x14ac:dyDescent="0.25">
      <c r="A43" s="1">
        <v>207009</v>
      </c>
      <c r="B43" t="s">
        <v>192</v>
      </c>
      <c r="C43" s="1" t="e" cm="1">
        <f t="array" aca="1" ref="C43" ca="1">_xlfn.LET(
_xlpm.texto,B43,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3" s="1" t="e" cm="1">
        <f t="array" aca="1" ref="D43" ca="1">_xlfn.LET(
_xlpm.texto,B43,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3" s="1" t="s">
        <v>238</v>
      </c>
      <c r="F43" s="1"/>
      <c r="G43" s="7" t="s">
        <v>279</v>
      </c>
      <c r="H43" s="1"/>
      <c r="I43" s="1"/>
      <c r="J43" s="1"/>
      <c r="K43" s="1"/>
      <c r="L43" s="3"/>
      <c r="M43" s="5">
        <v>0.20641867250182344</v>
      </c>
      <c r="N43" s="6">
        <f>IFERROR(Tabla1[[#This Row],[COSTO NETO]]/(1-Tabla1[[#This Row],[MARGEN]]),Tabla1[[#This Row],[COSTO NETO]])</f>
        <v>0</v>
      </c>
    </row>
    <row r="44" spans="1:14" x14ac:dyDescent="0.25">
      <c r="A44" s="1">
        <v>207010</v>
      </c>
      <c r="B44" t="s">
        <v>191</v>
      </c>
      <c r="C44" s="1" t="e" cm="1">
        <f t="array" aca="1" ref="C44" ca="1">_xlfn.LET(
_xlpm.texto,B44,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4" s="1" t="e" cm="1">
        <f t="array" aca="1" ref="D44" ca="1">_xlfn.LET(
_xlpm.texto,B44,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4" s="1" t="s">
        <v>238</v>
      </c>
      <c r="F44" s="1"/>
      <c r="G44" s="7" t="s">
        <v>279</v>
      </c>
      <c r="H44" s="1"/>
      <c r="I44" s="1"/>
      <c r="J44" s="1"/>
      <c r="K44" s="1"/>
      <c r="L44" s="3"/>
      <c r="M44" s="5">
        <v>0.2064180873370407</v>
      </c>
      <c r="N44" s="6">
        <f>IFERROR(Tabla1[[#This Row],[COSTO NETO]]/(1-Tabla1[[#This Row],[MARGEN]]),Tabla1[[#This Row],[COSTO NETO]])</f>
        <v>0</v>
      </c>
    </row>
    <row r="45" spans="1:14" x14ac:dyDescent="0.25">
      <c r="A45" s="1">
        <v>207011</v>
      </c>
      <c r="B45" t="s">
        <v>194</v>
      </c>
      <c r="C45" s="1" t="e" cm="1">
        <f t="array" aca="1" ref="C45" ca="1">_xlfn.LET(
_xlpm.texto,B45,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5" s="1" t="e" cm="1">
        <f t="array" aca="1" ref="D45" ca="1">_xlfn.LET(
_xlpm.texto,B45,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5" s="1" t="s">
        <v>238</v>
      </c>
      <c r="F45" s="1"/>
      <c r="G45" s="7" t="s">
        <v>279</v>
      </c>
      <c r="H45" s="1"/>
      <c r="I45" s="1"/>
      <c r="J45" s="1"/>
      <c r="K45" s="1"/>
      <c r="L45" s="3"/>
      <c r="M45" s="5">
        <v>0.20375626934158575</v>
      </c>
      <c r="N45" s="6">
        <f>IFERROR(Tabla1[[#This Row],[COSTO NETO]]/(1-Tabla1[[#This Row],[MARGEN]]),Tabla1[[#This Row],[COSTO NETO]])</f>
        <v>0</v>
      </c>
    </row>
    <row r="46" spans="1:14" x14ac:dyDescent="0.25">
      <c r="A46" s="1">
        <v>207012</v>
      </c>
      <c r="B46" t="s">
        <v>193</v>
      </c>
      <c r="C46" s="1" t="e" cm="1">
        <f t="array" aca="1" ref="C46" ca="1">_xlfn.LET(
_xlpm.texto,B46,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6" s="1" t="e" cm="1">
        <f t="array" aca="1" ref="D46" ca="1">_xlfn.LET(
_xlpm.texto,B46,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6" s="1" t="s">
        <v>238</v>
      </c>
      <c r="F46" s="1"/>
      <c r="G46" s="7" t="s">
        <v>279</v>
      </c>
      <c r="H46" s="1"/>
      <c r="I46" s="1"/>
      <c r="J46" s="1"/>
      <c r="K46" s="1"/>
      <c r="L46" s="3"/>
      <c r="M46" s="5">
        <v>0.21</v>
      </c>
      <c r="N46" s="6">
        <f>IFERROR(Tabla1[[#This Row],[COSTO NETO]]/(1-Tabla1[[#This Row],[MARGEN]]),Tabla1[[#This Row],[COSTO NETO]])</f>
        <v>0</v>
      </c>
    </row>
    <row r="47" spans="1:14" x14ac:dyDescent="0.25">
      <c r="A47" s="1">
        <v>207013</v>
      </c>
      <c r="B47" t="s">
        <v>29</v>
      </c>
      <c r="C47" s="1" t="e" cm="1">
        <f t="array" aca="1" ref="C47" ca="1">_xlfn.LET(
_xlpm.texto,B47,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7" s="1" t="e" cm="1">
        <f t="array" aca="1" ref="D47" ca="1">_xlfn.LET(
_xlpm.texto,B47,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7" s="1" t="s">
        <v>238</v>
      </c>
      <c r="F47" s="1"/>
      <c r="G47" s="7" t="s">
        <v>279</v>
      </c>
      <c r="H47" s="1"/>
      <c r="I47" s="1"/>
      <c r="J47" s="1"/>
      <c r="K47" s="1"/>
      <c r="L47" s="3"/>
      <c r="M47" s="5">
        <v>0.20245099745848272</v>
      </c>
      <c r="N47" s="6">
        <f>IFERROR(Tabla1[[#This Row],[COSTO NETO]]/(1-Tabla1[[#This Row],[MARGEN]]),Tabla1[[#This Row],[COSTO NETO]])</f>
        <v>0</v>
      </c>
    </row>
    <row r="48" spans="1:14" x14ac:dyDescent="0.25">
      <c r="A48" s="1">
        <v>207014</v>
      </c>
      <c r="B48" t="s">
        <v>30</v>
      </c>
      <c r="C48" s="1" t="e" cm="1">
        <f t="array" aca="1" ref="C48" ca="1">_xlfn.LET(
_xlpm.texto,B48,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8" s="1" t="e" cm="1">
        <f t="array" aca="1" ref="D48" ca="1">_xlfn.LET(
_xlpm.texto,B48,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8" s="1" t="s">
        <v>238</v>
      </c>
      <c r="F48" s="1"/>
      <c r="G48" s="7" t="s">
        <v>279</v>
      </c>
      <c r="H48" s="1"/>
      <c r="I48" s="1"/>
      <c r="J48" s="1"/>
      <c r="K48" s="1"/>
      <c r="L48" s="3"/>
      <c r="M48" s="5">
        <v>0.20421826277856858</v>
      </c>
      <c r="N48" s="6">
        <f>IFERROR(Tabla1[[#This Row],[COSTO NETO]]/(1-Tabla1[[#This Row],[MARGEN]]),Tabla1[[#This Row],[COSTO NETO]])</f>
        <v>0</v>
      </c>
    </row>
    <row r="49" spans="1:14" x14ac:dyDescent="0.25">
      <c r="A49" s="1">
        <v>207017</v>
      </c>
      <c r="B49" t="s">
        <v>31</v>
      </c>
      <c r="C49" s="1" t="e" cm="1">
        <f t="array" aca="1" ref="C49" ca="1">_xlfn.LET(
_xlpm.texto,B49,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49" s="1" t="e" cm="1">
        <f t="array" aca="1" ref="D49" ca="1">_xlfn.LET(
_xlpm.texto,B49,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49" s="1" t="s">
        <v>241</v>
      </c>
      <c r="F49" s="1"/>
      <c r="G49" s="7" t="s">
        <v>283</v>
      </c>
      <c r="H49" s="1"/>
      <c r="I49" s="2" t="s">
        <v>261</v>
      </c>
      <c r="J49" s="1"/>
      <c r="K49" s="1"/>
      <c r="L49" s="3"/>
      <c r="M49" s="5">
        <v>0</v>
      </c>
      <c r="N49" s="6">
        <f>IFERROR(Tabla1[[#This Row],[COSTO NETO]]/(1-Tabla1[[#This Row],[MARGEN]]),Tabla1[[#This Row],[COSTO NETO]])</f>
        <v>0</v>
      </c>
    </row>
    <row r="50" spans="1:14" x14ac:dyDescent="0.25">
      <c r="A50" s="1">
        <v>208001</v>
      </c>
      <c r="B50" t="s">
        <v>32</v>
      </c>
      <c r="C50" s="1" t="e" cm="1">
        <f t="array" aca="1" ref="C50" ca="1">_xlfn.LET(
_xlpm.texto,B50,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0" s="1" t="e" cm="1">
        <f t="array" aca="1" ref="D50" ca="1">_xlfn.LET(
_xlpm.texto,B50,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0" s="1" t="s">
        <v>238</v>
      </c>
      <c r="F50" s="1"/>
      <c r="G50" s="7" t="s">
        <v>279</v>
      </c>
      <c r="H50" s="1"/>
      <c r="I50" s="1"/>
      <c r="J50" s="1"/>
      <c r="K50" s="1"/>
      <c r="L50" s="3"/>
      <c r="M50" s="5">
        <v>0.20336006109201987</v>
      </c>
      <c r="N50" s="6">
        <f>IFERROR(Tabla1[[#This Row],[COSTO NETO]]/(1-Tabla1[[#This Row],[MARGEN]]),Tabla1[[#This Row],[COSTO NETO]])</f>
        <v>0</v>
      </c>
    </row>
    <row r="51" spans="1:14" x14ac:dyDescent="0.25">
      <c r="A51" s="1">
        <v>208002</v>
      </c>
      <c r="B51" t="s">
        <v>183</v>
      </c>
      <c r="C51" s="1" t="e" cm="1">
        <f t="array" aca="1" ref="C51" ca="1">_xlfn.LET(
_xlpm.texto,B51,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1" s="1" t="e" cm="1">
        <f t="array" aca="1" ref="D51" ca="1">_xlfn.LET(
_xlpm.texto,B51,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1" s="1" t="s">
        <v>238</v>
      </c>
      <c r="F51" s="1"/>
      <c r="G51" s="7" t="s">
        <v>279</v>
      </c>
      <c r="H51" s="1"/>
      <c r="I51" s="1"/>
      <c r="J51" s="1"/>
      <c r="K51" s="1"/>
      <c r="L51" s="3"/>
      <c r="M51" s="5">
        <v>0.20426912464752434</v>
      </c>
      <c r="N51" s="6">
        <f>IFERROR(Tabla1[[#This Row],[COSTO NETO]]/(1-Tabla1[[#This Row],[MARGEN]]),Tabla1[[#This Row],[COSTO NETO]])</f>
        <v>0</v>
      </c>
    </row>
    <row r="52" spans="1:14" x14ac:dyDescent="0.25">
      <c r="A52" s="1">
        <v>208003</v>
      </c>
      <c r="B52" t="s">
        <v>184</v>
      </c>
      <c r="C52" s="1" t="e" cm="1">
        <f t="array" aca="1" ref="C52" ca="1">_xlfn.LET(
_xlpm.texto,B52,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2" s="1" t="e" cm="1">
        <f t="array" aca="1" ref="D52" ca="1">_xlfn.LET(
_xlpm.texto,B52,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2" s="1" t="s">
        <v>238</v>
      </c>
      <c r="F52" s="1"/>
      <c r="G52" s="7" t="s">
        <v>279</v>
      </c>
      <c r="H52" s="1"/>
      <c r="I52" s="1"/>
      <c r="J52" s="1"/>
      <c r="K52" s="1"/>
      <c r="L52" s="3"/>
      <c r="M52" s="5">
        <v>0.20198870056497176</v>
      </c>
      <c r="N52" s="6">
        <f>IFERROR(Tabla1[[#This Row],[COSTO NETO]]/(1-Tabla1[[#This Row],[MARGEN]]),Tabla1[[#This Row],[COSTO NETO]])</f>
        <v>0</v>
      </c>
    </row>
    <row r="53" spans="1:14" x14ac:dyDescent="0.25">
      <c r="A53" s="1">
        <v>209001</v>
      </c>
      <c r="B53" t="s">
        <v>33</v>
      </c>
      <c r="C53" s="1" t="e" cm="1">
        <f t="array" aca="1" ref="C53" ca="1">_xlfn.LET(
_xlpm.texto,B53,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3" s="1" t="e" cm="1">
        <f t="array" aca="1" ref="D53" ca="1">_xlfn.LET(
_xlpm.texto,B53,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3" s="1" t="s">
        <v>230</v>
      </c>
      <c r="F53" s="1"/>
      <c r="G53" s="7" t="s">
        <v>283</v>
      </c>
      <c r="H53" s="1"/>
      <c r="I53" s="1"/>
      <c r="J53" s="1"/>
      <c r="K53" s="1"/>
      <c r="L53" s="3"/>
      <c r="M53" s="5">
        <v>0.21571058406377464</v>
      </c>
      <c r="N53" s="6">
        <f>IFERROR(Tabla1[[#This Row],[COSTO NETO]]/(1-Tabla1[[#This Row],[MARGEN]]),Tabla1[[#This Row],[COSTO NETO]])</f>
        <v>0</v>
      </c>
    </row>
    <row r="54" spans="1:14" x14ac:dyDescent="0.25">
      <c r="A54" s="1">
        <v>209002</v>
      </c>
      <c r="B54" t="s">
        <v>34</v>
      </c>
      <c r="C54" s="1" t="e" cm="1">
        <f t="array" aca="1" ref="C54" ca="1">_xlfn.LET(
_xlpm.texto,B54,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4" s="1" t="e" cm="1">
        <f t="array" aca="1" ref="D54" ca="1">_xlfn.LET(
_xlpm.texto,B54,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4" s="1" t="s">
        <v>230</v>
      </c>
      <c r="F54" s="1"/>
      <c r="G54" s="7" t="s">
        <v>283</v>
      </c>
      <c r="H54" s="1"/>
      <c r="I54" s="1"/>
      <c r="J54" s="1"/>
      <c r="K54" s="1"/>
      <c r="L54" s="3"/>
      <c r="M54" s="5">
        <v>0.21510770138683977</v>
      </c>
      <c r="N54" s="6">
        <f>IFERROR(Tabla1[[#This Row],[COSTO NETO]]/(1-Tabla1[[#This Row],[MARGEN]]),Tabla1[[#This Row],[COSTO NETO]])</f>
        <v>0</v>
      </c>
    </row>
    <row r="55" spans="1:14" x14ac:dyDescent="0.25">
      <c r="A55" s="1">
        <v>209003</v>
      </c>
      <c r="B55" t="s">
        <v>226</v>
      </c>
      <c r="C55" s="1" t="e" cm="1">
        <f t="array" aca="1" ref="C55" ca="1">_xlfn.LET(
_xlpm.texto,B55,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5" s="1" t="e" cm="1">
        <f t="array" aca="1" ref="D55" ca="1">_xlfn.LET(
_xlpm.texto,B55,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5" s="1" t="s">
        <v>230</v>
      </c>
      <c r="F55" s="1" t="s">
        <v>239</v>
      </c>
      <c r="G55" s="7" t="s">
        <v>279</v>
      </c>
      <c r="H55" s="1"/>
      <c r="I55" s="1"/>
      <c r="J55" s="1"/>
      <c r="K55" s="1"/>
      <c r="L55" s="3"/>
      <c r="M55" s="5">
        <v>0.20602706336776266</v>
      </c>
      <c r="N55" s="6">
        <f>IFERROR(Tabla1[[#This Row],[COSTO NETO]]/(1-Tabla1[[#This Row],[MARGEN]]),Tabla1[[#This Row],[COSTO NETO]])</f>
        <v>0</v>
      </c>
    </row>
    <row r="56" spans="1:14" x14ac:dyDescent="0.25">
      <c r="A56" s="1">
        <v>209004</v>
      </c>
      <c r="B56" t="s">
        <v>35</v>
      </c>
      <c r="C56" s="1" t="e" cm="1">
        <f t="array" aca="1" ref="C56" ca="1">_xlfn.LET(
_xlpm.texto,B56,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6" s="1" t="e" cm="1">
        <f t="array" aca="1" ref="D56" ca="1">_xlfn.LET(
_xlpm.texto,B56,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6" s="1" t="s">
        <v>242</v>
      </c>
      <c r="F56" s="1"/>
      <c r="G56" s="7" t="s">
        <v>279</v>
      </c>
      <c r="H56" s="1"/>
      <c r="I56" s="2" t="s">
        <v>261</v>
      </c>
      <c r="J56" s="1"/>
      <c r="K56" s="1"/>
      <c r="L56" s="3">
        <v>65520</v>
      </c>
      <c r="M56" s="5">
        <v>0.17</v>
      </c>
      <c r="N56" s="6">
        <f>IFERROR(Tabla1[[#This Row],[COSTO NETO]]/(1-Tabla1[[#This Row],[MARGEN]]),Tabla1[[#This Row],[COSTO NETO]])</f>
        <v>78939.759036144576</v>
      </c>
    </row>
    <row r="57" spans="1:14" x14ac:dyDescent="0.25">
      <c r="A57" s="1">
        <v>209006</v>
      </c>
      <c r="B57" t="s">
        <v>36</v>
      </c>
      <c r="C57" s="1" t="e" cm="1">
        <f t="array" aca="1" ref="C57" ca="1">_xlfn.LET(
_xlpm.texto,B57,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7" s="1" t="e" cm="1">
        <f t="array" aca="1" ref="D57" ca="1">_xlfn.LET(
_xlpm.texto,B57,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7" s="1" t="s">
        <v>230</v>
      </c>
      <c r="F57" s="1"/>
      <c r="G57" s="7" t="s">
        <v>279</v>
      </c>
      <c r="H57" s="1"/>
      <c r="I57" s="1"/>
      <c r="J57" s="1"/>
      <c r="K57" s="1"/>
      <c r="L57" s="3"/>
      <c r="M57" s="5">
        <v>0.21024763914918398</v>
      </c>
      <c r="N57" s="6">
        <f>IFERROR(Tabla1[[#This Row],[COSTO NETO]]/(1-Tabla1[[#This Row],[MARGEN]]),Tabla1[[#This Row],[COSTO NETO]])</f>
        <v>0</v>
      </c>
    </row>
    <row r="58" spans="1:14" x14ac:dyDescent="0.25">
      <c r="A58" s="1">
        <v>209007</v>
      </c>
      <c r="B58" t="s">
        <v>173</v>
      </c>
      <c r="C58" s="1" t="e" cm="1">
        <f t="array" aca="1" ref="C58" ca="1">_xlfn.LET(
_xlpm.texto,B58,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8" s="1" t="e" cm="1">
        <f t="array" aca="1" ref="D58" ca="1">_xlfn.LET(
_xlpm.texto,B58,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8" s="1" t="s">
        <v>230</v>
      </c>
      <c r="F58" s="1"/>
      <c r="G58" s="7" t="s">
        <v>283</v>
      </c>
      <c r="H58" s="1"/>
      <c r="I58" s="1"/>
      <c r="J58" s="1"/>
      <c r="K58" s="1"/>
      <c r="L58" s="3"/>
      <c r="M58" s="5">
        <v>0.21185265001010167</v>
      </c>
      <c r="N58" s="6">
        <f>IFERROR(Tabla1[[#This Row],[COSTO NETO]]/(1-Tabla1[[#This Row],[MARGEN]]),Tabla1[[#This Row],[COSTO NETO]])</f>
        <v>0</v>
      </c>
    </row>
    <row r="59" spans="1:14" x14ac:dyDescent="0.25">
      <c r="A59" s="1">
        <v>209008</v>
      </c>
      <c r="B59" t="s">
        <v>174</v>
      </c>
      <c r="C59" s="1" t="e" cm="1">
        <f t="array" aca="1" ref="C59" ca="1">_xlfn.LET(
_xlpm.texto,B59,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59" s="1" t="e" cm="1">
        <f t="array" aca="1" ref="D59" ca="1">_xlfn.LET(
_xlpm.texto,B59,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59" s="1" t="s">
        <v>230</v>
      </c>
      <c r="F59" s="1"/>
      <c r="G59" s="7" t="s">
        <v>283</v>
      </c>
      <c r="H59" s="1"/>
      <c r="I59" s="1"/>
      <c r="J59" s="1"/>
      <c r="K59" s="1"/>
      <c r="L59" s="3"/>
      <c r="M59" s="5">
        <v>0.22007331975560085</v>
      </c>
      <c r="N59" s="6">
        <f>IFERROR(Tabla1[[#This Row],[COSTO NETO]]/(1-Tabla1[[#This Row],[MARGEN]]),Tabla1[[#This Row],[COSTO NETO]])</f>
        <v>0</v>
      </c>
    </row>
    <row r="60" spans="1:14" x14ac:dyDescent="0.25">
      <c r="A60" s="1">
        <v>209011</v>
      </c>
      <c r="B60" t="s">
        <v>37</v>
      </c>
      <c r="C60" s="1" t="e" cm="1">
        <f t="array" aca="1" ref="C60" ca="1">_xlfn.LET(
_xlpm.texto,B60,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0" s="1" t="e" cm="1">
        <f t="array" aca="1" ref="D60" ca="1">_xlfn.LET(
_xlpm.texto,B60,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0" s="1" t="s">
        <v>242</v>
      </c>
      <c r="F60" s="1" t="s">
        <v>239</v>
      </c>
      <c r="G60" s="7" t="s">
        <v>279</v>
      </c>
      <c r="H60" s="1"/>
      <c r="I60" s="2" t="s">
        <v>261</v>
      </c>
      <c r="J60" s="1"/>
      <c r="K60" s="1"/>
      <c r="L60" s="3"/>
      <c r="M60" s="5">
        <v>0.20712694877505566</v>
      </c>
      <c r="N60" s="6">
        <f>IFERROR(Tabla1[[#This Row],[COSTO NETO]]/(1-Tabla1[[#This Row],[MARGEN]]),Tabla1[[#This Row],[COSTO NETO]])</f>
        <v>0</v>
      </c>
    </row>
    <row r="61" spans="1:14" x14ac:dyDescent="0.25">
      <c r="A61" s="1">
        <v>209012</v>
      </c>
      <c r="B61" t="s">
        <v>38</v>
      </c>
      <c r="C61" s="1" t="e" cm="1">
        <f t="array" aca="1" ref="C61" ca="1">_xlfn.LET(
_xlpm.texto,B61,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1" s="1" t="e" cm="1">
        <f t="array" aca="1" ref="D61" ca="1">_xlfn.LET(
_xlpm.texto,B61,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1" s="1" t="s">
        <v>239</v>
      </c>
      <c r="F61" s="1" t="s">
        <v>242</v>
      </c>
      <c r="G61" s="7" t="s">
        <v>283</v>
      </c>
      <c r="H61" s="1"/>
      <c r="I61" s="1"/>
      <c r="J61" s="1"/>
      <c r="K61" s="1"/>
      <c r="L61" s="3"/>
      <c r="M61" s="5">
        <v>0.20759882970968502</v>
      </c>
      <c r="N61" s="6">
        <f>IFERROR(Tabla1[[#This Row],[COSTO NETO]]/(1-Tabla1[[#This Row],[MARGEN]]),Tabla1[[#This Row],[COSTO NETO]])</f>
        <v>0</v>
      </c>
    </row>
    <row r="62" spans="1:14" x14ac:dyDescent="0.25">
      <c r="A62" s="1">
        <v>209016</v>
      </c>
      <c r="B62" t="s">
        <v>39</v>
      </c>
      <c r="C62" s="1" t="e" cm="1">
        <f t="array" aca="1" ref="C62" ca="1">_xlfn.LET(
_xlpm.texto,B62,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2" s="1" t="e" cm="1">
        <f t="array" aca="1" ref="D62" ca="1">_xlfn.LET(
_xlpm.texto,B62,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2" s="1" t="s">
        <v>230</v>
      </c>
      <c r="F62" s="1"/>
      <c r="G62" s="7" t="s">
        <v>279</v>
      </c>
      <c r="H62" s="1"/>
      <c r="I62" s="1"/>
      <c r="J62" s="1"/>
      <c r="K62" s="1"/>
      <c r="L62" s="3"/>
      <c r="M62" s="5">
        <v>0.21009174311926604</v>
      </c>
      <c r="N62" s="6">
        <f>IFERROR(Tabla1[[#This Row],[COSTO NETO]]/(1-Tabla1[[#This Row],[MARGEN]]),Tabla1[[#This Row],[COSTO NETO]])</f>
        <v>0</v>
      </c>
    </row>
    <row r="63" spans="1:14" x14ac:dyDescent="0.25">
      <c r="A63" s="1">
        <v>209017</v>
      </c>
      <c r="B63" t="s">
        <v>40</v>
      </c>
      <c r="C63" s="1" t="e" cm="1">
        <f t="array" aca="1" ref="C63" ca="1">_xlfn.LET(
_xlpm.texto,B63,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3" s="1" t="e" cm="1">
        <f t="array" aca="1" ref="D63" ca="1">_xlfn.LET(
_xlpm.texto,B63,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3" s="1" t="s">
        <v>230</v>
      </c>
      <c r="F63" s="1"/>
      <c r="G63" s="7" t="s">
        <v>279</v>
      </c>
      <c r="H63" s="1"/>
      <c r="I63" s="1"/>
      <c r="J63" s="1"/>
      <c r="K63" s="1"/>
      <c r="L63" s="3"/>
      <c r="M63" s="5">
        <v>0.20961157758208748</v>
      </c>
      <c r="N63" s="6">
        <f>IFERROR(Tabla1[[#This Row],[COSTO NETO]]/(1-Tabla1[[#This Row],[MARGEN]]),Tabla1[[#This Row],[COSTO NETO]])</f>
        <v>0</v>
      </c>
    </row>
    <row r="64" spans="1:14" x14ac:dyDescent="0.25">
      <c r="A64" s="1">
        <v>209018</v>
      </c>
      <c r="B64" t="s">
        <v>178</v>
      </c>
      <c r="C64" s="1" t="e" cm="1">
        <f t="array" aca="1" ref="C64" ca="1">_xlfn.LET(
_xlpm.texto,B64,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4" s="1" t="e" cm="1">
        <f t="array" aca="1" ref="D64" ca="1">_xlfn.LET(
_xlpm.texto,B64,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4" s="1" t="s">
        <v>230</v>
      </c>
      <c r="F64" s="1"/>
      <c r="G64" s="7" t="s">
        <v>279</v>
      </c>
      <c r="H64" s="1"/>
      <c r="I64" s="1"/>
      <c r="J64" s="1"/>
      <c r="K64" s="1"/>
      <c r="L64" s="3"/>
      <c r="M64" s="5">
        <v>0.20959389479422186</v>
      </c>
      <c r="N64" s="6">
        <f>IFERROR(Tabla1[[#This Row],[COSTO NETO]]/(1-Tabla1[[#This Row],[MARGEN]]),Tabla1[[#This Row],[COSTO NETO]])</f>
        <v>0</v>
      </c>
    </row>
    <row r="65" spans="1:14" x14ac:dyDescent="0.25">
      <c r="A65" s="1">
        <v>209021</v>
      </c>
      <c r="B65" t="s">
        <v>41</v>
      </c>
      <c r="C65" s="1" t="e" cm="1">
        <f t="array" aca="1" ref="C65" ca="1">_xlfn.LET(
_xlpm.texto,B65,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5" s="1" t="e" cm="1">
        <f t="array" aca="1" ref="D65" ca="1">_xlfn.LET(
_xlpm.texto,B65,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5" s="1" t="s">
        <v>230</v>
      </c>
      <c r="F65" s="1"/>
      <c r="G65" s="7" t="s">
        <v>283</v>
      </c>
      <c r="H65" s="1"/>
      <c r="I65" s="1"/>
      <c r="J65" s="1"/>
      <c r="K65" s="1"/>
      <c r="L65" s="3"/>
      <c r="M65" s="5">
        <v>0.21044510385756676</v>
      </c>
      <c r="N65" s="6">
        <f>IFERROR(Tabla1[[#This Row],[COSTO NETO]]/(1-Tabla1[[#This Row],[MARGEN]]),Tabla1[[#This Row],[COSTO NETO]])</f>
        <v>0</v>
      </c>
    </row>
    <row r="66" spans="1:14" x14ac:dyDescent="0.25">
      <c r="A66" s="1">
        <v>209022</v>
      </c>
      <c r="B66" t="s">
        <v>42</v>
      </c>
      <c r="C66" s="1" t="e" cm="1">
        <f t="array" aca="1" ref="C66" ca="1">_xlfn.LET(
_xlpm.texto,B66,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6" s="1" t="e" cm="1">
        <f t="array" aca="1" ref="D66" ca="1">_xlfn.LET(
_xlpm.texto,B66,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6" s="1" t="s">
        <v>230</v>
      </c>
      <c r="F66" s="1"/>
      <c r="G66" s="7" t="s">
        <v>283</v>
      </c>
      <c r="H66" s="1"/>
      <c r="I66" s="1"/>
      <c r="J66" s="1"/>
      <c r="K66" s="1"/>
      <c r="L66" s="3"/>
      <c r="M66" s="5">
        <v>0.21044510385756676</v>
      </c>
      <c r="N66" s="6">
        <f>IFERROR(Tabla1[[#This Row],[COSTO NETO]]/(1-Tabla1[[#This Row],[MARGEN]]),Tabla1[[#This Row],[COSTO NETO]])</f>
        <v>0</v>
      </c>
    </row>
    <row r="67" spans="1:14" x14ac:dyDescent="0.25">
      <c r="A67" s="1">
        <v>209023</v>
      </c>
      <c r="B67" t="s">
        <v>43</v>
      </c>
      <c r="C67" s="1" t="e" cm="1">
        <f t="array" aca="1" ref="C67" ca="1">_xlfn.LET(
_xlpm.texto,B67,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7" s="1" t="e" cm="1">
        <f t="array" aca="1" ref="D67" ca="1">_xlfn.LET(
_xlpm.texto,B67,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7" s="1" t="s">
        <v>239</v>
      </c>
      <c r="F67" s="1" t="s">
        <v>242</v>
      </c>
      <c r="G67" s="7" t="s">
        <v>279</v>
      </c>
      <c r="H67" s="1"/>
      <c r="I67" s="1"/>
      <c r="J67" s="1"/>
      <c r="K67" s="1"/>
      <c r="L67" s="3"/>
      <c r="M67" s="5">
        <v>0.20837995476728965</v>
      </c>
      <c r="N67" s="6">
        <f>IFERROR(Tabla1[[#This Row],[COSTO NETO]]/(1-Tabla1[[#This Row],[MARGEN]]),Tabla1[[#This Row],[COSTO NETO]])</f>
        <v>0</v>
      </c>
    </row>
    <row r="68" spans="1:14" x14ac:dyDescent="0.25">
      <c r="A68" s="1">
        <v>210001</v>
      </c>
      <c r="B68" t="s">
        <v>44</v>
      </c>
      <c r="C68" s="1" t="e" cm="1">
        <f t="array" aca="1" ref="C68" ca="1">_xlfn.LET(
_xlpm.texto,B68,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8" s="1" t="e" cm="1">
        <f t="array" aca="1" ref="D68" ca="1">_xlfn.LET(
_xlpm.texto,B68,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8" s="1" t="s">
        <v>238</v>
      </c>
      <c r="F68" s="1"/>
      <c r="G68" s="7" t="s">
        <v>279</v>
      </c>
      <c r="H68" s="1"/>
      <c r="I68" s="1"/>
      <c r="J68" s="1"/>
      <c r="K68" s="1"/>
      <c r="L68" s="3">
        <v>68544</v>
      </c>
      <c r="M68" s="5">
        <v>0.17</v>
      </c>
      <c r="N68" s="6">
        <f>IFERROR(Tabla1[[#This Row],[COSTO NETO]]/(1-Tabla1[[#This Row],[MARGEN]]),Tabla1[[#This Row],[COSTO NETO]])</f>
        <v>82583.132530120492</v>
      </c>
    </row>
    <row r="69" spans="1:14" x14ac:dyDescent="0.25">
      <c r="A69" s="1">
        <v>210002</v>
      </c>
      <c r="B69" t="s">
        <v>45</v>
      </c>
      <c r="C69" s="1" t="e" cm="1">
        <f t="array" aca="1" ref="C69" ca="1">_xlfn.LET(
_xlpm.texto,B69,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69" s="1" t="e" cm="1">
        <f t="array" aca="1" ref="D69" ca="1">_xlfn.LET(
_xlpm.texto,B69,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69" s="1" t="s">
        <v>240</v>
      </c>
      <c r="F69" s="1"/>
      <c r="G69" s="7" t="s">
        <v>279</v>
      </c>
      <c r="H69" s="1"/>
      <c r="I69" s="2" t="s">
        <v>261</v>
      </c>
      <c r="J69" s="1"/>
      <c r="K69" s="1"/>
      <c r="L69" s="3"/>
      <c r="M69" s="5">
        <v>0.20962901236464782</v>
      </c>
      <c r="N69" s="6">
        <f>IFERROR(Tabla1[[#This Row],[COSTO NETO]]/(1-Tabla1[[#This Row],[MARGEN]]),Tabla1[[#This Row],[COSTO NETO]])</f>
        <v>0</v>
      </c>
    </row>
    <row r="70" spans="1:14" x14ac:dyDescent="0.25">
      <c r="A70" s="1">
        <v>210003</v>
      </c>
      <c r="B70" t="s">
        <v>46</v>
      </c>
      <c r="C70" s="1" t="e" cm="1">
        <f t="array" aca="1" ref="C70" ca="1">_xlfn.LET(
_xlpm.texto,B70,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0" s="1" t="e" cm="1">
        <f t="array" aca="1" ref="D70" ca="1">_xlfn.LET(
_xlpm.texto,B70,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0" s="1" t="s">
        <v>238</v>
      </c>
      <c r="F70" s="1"/>
      <c r="G70" s="7" t="s">
        <v>279</v>
      </c>
      <c r="H70" s="1"/>
      <c r="I70" s="1"/>
      <c r="J70" s="1"/>
      <c r="K70" s="1"/>
      <c r="L70" s="3">
        <v>51332</v>
      </c>
      <c r="M70" s="5">
        <v>0.21262780269058301</v>
      </c>
      <c r="N70" s="6">
        <f>IFERROR(Tabla1[[#This Row],[COSTO NETO]]/(1-Tabla1[[#This Row],[MARGEN]]),Tabla1[[#This Row],[COSTO NETO]])</f>
        <v>65194.072352833973</v>
      </c>
    </row>
    <row r="71" spans="1:14" x14ac:dyDescent="0.25">
      <c r="A71" s="1">
        <v>210004</v>
      </c>
      <c r="B71" t="s">
        <v>47</v>
      </c>
      <c r="C71" s="1" t="e" cm="1">
        <f t="array" aca="1" ref="C71" ca="1">_xlfn.LET(
_xlpm.texto,B71,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1" s="1" t="e" cm="1">
        <f t="array" aca="1" ref="D71" ca="1">_xlfn.LET(
_xlpm.texto,B71,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1" s="1" t="s">
        <v>238</v>
      </c>
      <c r="F71" s="1"/>
      <c r="G71" s="7" t="e" cm="1">
        <f t="array" aca="1" ref="G71" ca="1">_xlfn.LET(
_xlpm.texto,B71,
IF(
SUM(--ISNUMBER(SEARCH({"CAJA"},_xlpm.texto)))&gt;0,
"CAJA",
"UNIDAD"
))</f>
        <v>#NAME?</v>
      </c>
      <c r="H71" s="1"/>
      <c r="I71" s="1"/>
      <c r="J71" s="1"/>
      <c r="K71" s="1"/>
      <c r="L71" s="3">
        <v>28969</v>
      </c>
      <c r="M71" s="5">
        <v>0.20924396720259109</v>
      </c>
      <c r="N71" s="6">
        <f>IFERROR(Tabla1[[#This Row],[COSTO NETO]]/(1-Tabla1[[#This Row],[MARGEN]]),Tabla1[[#This Row],[COSTO NETO]])</f>
        <v>36634.560848708483</v>
      </c>
    </row>
    <row r="72" spans="1:14" x14ac:dyDescent="0.25">
      <c r="A72" s="1">
        <v>210009</v>
      </c>
      <c r="B72" t="s">
        <v>282</v>
      </c>
      <c r="C72" s="1" t="e" cm="1">
        <f t="array" aca="1" ref="C72" ca="1">_xlfn.LET(
_xlpm.texto,B72,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2" s="1" t="e" cm="1">
        <f t="array" aca="1" ref="D72" ca="1">_xlfn.LET(
_xlpm.texto,B72,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2" s="1" t="s">
        <v>298</v>
      </c>
      <c r="F72" s="1"/>
      <c r="G72" s="7" t="s">
        <v>283</v>
      </c>
      <c r="H72" s="1"/>
      <c r="I72" s="1"/>
      <c r="J72" s="1" t="s">
        <v>287</v>
      </c>
      <c r="K72" s="1"/>
      <c r="L72" s="3">
        <v>4000</v>
      </c>
      <c r="M72" s="5">
        <v>0</v>
      </c>
      <c r="N72" s="6">
        <f>IFERROR(Tabla1[[#This Row],[COSTO NETO]]/(1-Tabla1[[#This Row],[MARGEN]]),Tabla1[[#This Row],[COSTO NETO]])</f>
        <v>4000</v>
      </c>
    </row>
    <row r="73" spans="1:14" x14ac:dyDescent="0.25">
      <c r="A73" s="1">
        <v>210010</v>
      </c>
      <c r="B73" t="s">
        <v>48</v>
      </c>
      <c r="C73" s="1" t="e" cm="1">
        <f t="array" aca="1" ref="C73" ca="1">_xlfn.LET(
_xlpm.texto,B73,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3" s="1" t="e" cm="1">
        <f t="array" aca="1" ref="D73" ca="1">_xlfn.LET(
_xlpm.texto,B73,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3" s="1" t="s">
        <v>238</v>
      </c>
      <c r="F73" s="1"/>
      <c r="G73" s="7" t="s">
        <v>283</v>
      </c>
      <c r="H73" s="1"/>
      <c r="I73" s="1"/>
      <c r="J73" s="1"/>
      <c r="K73" s="1"/>
      <c r="L73" s="3"/>
      <c r="M73" s="5">
        <v>0.17</v>
      </c>
      <c r="N73" s="6">
        <f>IFERROR(Tabla1[[#This Row],[COSTO NETO]]/(1-Tabla1[[#This Row],[MARGEN]]),Tabla1[[#This Row],[COSTO NETO]])</f>
        <v>0</v>
      </c>
    </row>
    <row r="74" spans="1:14" x14ac:dyDescent="0.25">
      <c r="A74" s="1">
        <v>210012</v>
      </c>
      <c r="B74" t="s">
        <v>186</v>
      </c>
      <c r="C74" s="1" t="e" cm="1">
        <f t="array" aca="1" ref="C74" ca="1">_xlfn.LET(
_xlpm.texto,B74,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4" s="1" t="e" cm="1">
        <f t="array" aca="1" ref="D74" ca="1">_xlfn.LET(
_xlpm.texto,B74,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4" s="1" t="s">
        <v>238</v>
      </c>
      <c r="F74" s="1"/>
      <c r="G74" s="7" t="s">
        <v>279</v>
      </c>
      <c r="H74" s="1"/>
      <c r="I74" s="1"/>
      <c r="J74" s="1"/>
      <c r="K74" s="1"/>
      <c r="L74" s="3"/>
      <c r="M74" s="5">
        <v>0.2</v>
      </c>
      <c r="N74" s="6">
        <f>IFERROR(Tabla1[[#This Row],[COSTO NETO]]/(1-Tabla1[[#This Row],[MARGEN]]),Tabla1[[#This Row],[COSTO NETO]])</f>
        <v>0</v>
      </c>
    </row>
    <row r="75" spans="1:14" x14ac:dyDescent="0.25">
      <c r="A75" s="1">
        <v>210013</v>
      </c>
      <c r="B75" t="s">
        <v>49</v>
      </c>
      <c r="C75" s="1" t="e" cm="1">
        <f t="array" aca="1" ref="C75" ca="1">_xlfn.LET(
_xlpm.texto,B75,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5" s="1" t="e" cm="1">
        <f t="array" aca="1" ref="D75" ca="1">_xlfn.LET(
_xlpm.texto,B75,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5" s="1" t="s">
        <v>240</v>
      </c>
      <c r="F75" s="1"/>
      <c r="G75" s="7" t="s">
        <v>283</v>
      </c>
      <c r="H75" s="1"/>
      <c r="I75" s="1"/>
      <c r="J75" s="1"/>
      <c r="K75" s="1"/>
      <c r="L75" s="3"/>
      <c r="M75" s="5">
        <v>0.17</v>
      </c>
      <c r="N75" s="6">
        <f>IFERROR(Tabla1[[#This Row],[COSTO NETO]]/(1-Tabla1[[#This Row],[MARGEN]]),Tabla1[[#This Row],[COSTO NETO]])</f>
        <v>0</v>
      </c>
    </row>
    <row r="76" spans="1:14" x14ac:dyDescent="0.25">
      <c r="A76" s="1">
        <v>210014</v>
      </c>
      <c r="B76" t="s">
        <v>50</v>
      </c>
      <c r="C76" s="1" t="e" cm="1">
        <f t="array" aca="1" ref="C76" ca="1">_xlfn.LET(
_xlpm.texto,B76,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6" s="1" t="e" cm="1">
        <f t="array" aca="1" ref="D76" ca="1">_xlfn.LET(
_xlpm.texto,B76,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6" s="1" t="s">
        <v>244</v>
      </c>
      <c r="F76" s="1"/>
      <c r="G76" s="7" t="s">
        <v>283</v>
      </c>
      <c r="H76" s="1"/>
      <c r="I76" s="2" t="s">
        <v>261</v>
      </c>
      <c r="J76" s="1"/>
      <c r="K76" s="1"/>
      <c r="L76" s="3"/>
      <c r="M76" s="5">
        <v>0</v>
      </c>
      <c r="N76" s="6">
        <f>IFERROR(Tabla1[[#This Row],[COSTO NETO]]/(1-Tabla1[[#This Row],[MARGEN]]),Tabla1[[#This Row],[COSTO NETO]])</f>
        <v>0</v>
      </c>
    </row>
    <row r="77" spans="1:14" x14ac:dyDescent="0.25">
      <c r="A77" s="1">
        <v>210015</v>
      </c>
      <c r="B77" t="s">
        <v>51</v>
      </c>
      <c r="C77" s="1" t="e" cm="1">
        <f t="array" aca="1" ref="C77" ca="1">_xlfn.LET(
_xlpm.texto,B77,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7" s="1" t="e" cm="1">
        <f t="array" aca="1" ref="D77" ca="1">_xlfn.LET(
_xlpm.texto,B77,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7" s="1" t="s">
        <v>298</v>
      </c>
      <c r="F77" s="1"/>
      <c r="G77" s="7" t="s">
        <v>283</v>
      </c>
      <c r="H77" s="1"/>
      <c r="I77" s="2" t="s">
        <v>261</v>
      </c>
      <c r="J77" s="1" t="s">
        <v>291</v>
      </c>
      <c r="K77" s="1"/>
      <c r="L77" s="3"/>
      <c r="M77" s="5">
        <v>0</v>
      </c>
      <c r="N77" s="6">
        <f>IFERROR(Tabla1[[#This Row],[COSTO NETO]]/(1-Tabla1[[#This Row],[MARGEN]]),Tabla1[[#This Row],[COSTO NETO]])</f>
        <v>0</v>
      </c>
    </row>
    <row r="78" spans="1:14" x14ac:dyDescent="0.25">
      <c r="A78" s="1">
        <v>212002</v>
      </c>
      <c r="B78" t="s">
        <v>52</v>
      </c>
      <c r="C78" s="1" t="e" cm="1">
        <f t="array" aca="1" ref="C78" ca="1">_xlfn.LET(
_xlpm.texto,B78,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8" s="1" t="e" cm="1">
        <f t="array" aca="1" ref="D78" ca="1">_xlfn.LET(
_xlpm.texto,B78,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8" s="1" t="s">
        <v>231</v>
      </c>
      <c r="F78" s="1"/>
      <c r="G78" s="7" t="s">
        <v>279</v>
      </c>
      <c r="H78" s="1"/>
      <c r="I78" s="2" t="s">
        <v>261</v>
      </c>
      <c r="J78" s="1"/>
      <c r="K78" s="1"/>
      <c r="L78" s="3">
        <v>43800</v>
      </c>
      <c r="M78" s="5">
        <v>0.23504949335207637</v>
      </c>
      <c r="N78" s="6">
        <f>IFERROR(Tabla1[[#This Row],[COSTO NETO]]/(1-Tabla1[[#This Row],[MARGEN]]),Tabla1[[#This Row],[COSTO NETO]])</f>
        <v>57258.606431852982</v>
      </c>
    </row>
    <row r="79" spans="1:14" x14ac:dyDescent="0.25">
      <c r="A79" s="1">
        <v>212010</v>
      </c>
      <c r="B79" t="s">
        <v>53</v>
      </c>
      <c r="C79" s="1" t="e" cm="1">
        <f t="array" aca="1" ref="C79" ca="1">_xlfn.LET(
_xlpm.texto,B79,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79" s="1" t="e" cm="1">
        <f t="array" aca="1" ref="D79" ca="1">_xlfn.LET(
_xlpm.texto,B79,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79" s="1" t="s">
        <v>245</v>
      </c>
      <c r="F79" s="1"/>
      <c r="G79" s="7" t="s">
        <v>279</v>
      </c>
      <c r="H79" s="1"/>
      <c r="I79" s="1"/>
      <c r="J79" s="1" t="s">
        <v>271</v>
      </c>
      <c r="K79" s="1"/>
      <c r="L79" s="3">
        <v>33480</v>
      </c>
      <c r="M79" s="5">
        <v>0.24543288324066714</v>
      </c>
      <c r="N79" s="6">
        <f>IFERROR(Tabla1[[#This Row],[COSTO NETO]]/(1-Tabla1[[#This Row],[MARGEN]]),Tabla1[[#This Row],[COSTO NETO]])</f>
        <v>44369.810526315785</v>
      </c>
    </row>
    <row r="80" spans="1:14" x14ac:dyDescent="0.25">
      <c r="A80" s="1">
        <v>212035</v>
      </c>
      <c r="B80" t="s">
        <v>54</v>
      </c>
      <c r="C80" s="1" t="e" cm="1">
        <f t="array" aca="1" ref="C80" ca="1">_xlfn.LET(
_xlpm.texto,B80,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0" s="1" t="e" cm="1">
        <f t="array" aca="1" ref="D80" ca="1">_xlfn.LET(
_xlpm.texto,B80,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0" s="1" t="s">
        <v>233</v>
      </c>
      <c r="F80" s="1"/>
      <c r="G80" s="7" t="s">
        <v>279</v>
      </c>
      <c r="H80" s="1"/>
      <c r="I80" s="1"/>
      <c r="J80" s="1"/>
      <c r="K80" s="1"/>
      <c r="L80" s="3">
        <v>24500</v>
      </c>
      <c r="M80" s="5">
        <v>0.17</v>
      </c>
      <c r="N80" s="6">
        <f>IFERROR(Tabla1[[#This Row],[COSTO NETO]]/(1-Tabla1[[#This Row],[MARGEN]]),Tabla1[[#This Row],[COSTO NETO]])</f>
        <v>29518.072289156629</v>
      </c>
    </row>
    <row r="81" spans="1:14" x14ac:dyDescent="0.25">
      <c r="A81" s="1">
        <v>213002</v>
      </c>
      <c r="B81" t="s">
        <v>55</v>
      </c>
      <c r="C81" s="1" t="e" cm="1">
        <f t="array" aca="1" ref="C81" ca="1">_xlfn.LET(
_xlpm.texto,B81,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1" s="1" t="e" cm="1">
        <f t="array" aca="1" ref="D81" ca="1">_xlfn.LET(
_xlpm.texto,B81,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1" s="1" t="s">
        <v>238</v>
      </c>
      <c r="F81" s="1"/>
      <c r="G81" s="7" t="s">
        <v>283</v>
      </c>
      <c r="H81" s="1"/>
      <c r="I81" s="1"/>
      <c r="J81" s="1" t="s">
        <v>273</v>
      </c>
      <c r="K81" s="1" t="s">
        <v>281</v>
      </c>
      <c r="L81" s="3"/>
      <c r="M81" s="5">
        <v>0.17</v>
      </c>
      <c r="N81" s="6">
        <f>IFERROR(Tabla1[[#This Row],[COSTO NETO]]/(1-Tabla1[[#This Row],[MARGEN]]),Tabla1[[#This Row],[COSTO NETO]])</f>
        <v>0</v>
      </c>
    </row>
    <row r="82" spans="1:14" x14ac:dyDescent="0.25">
      <c r="A82" s="1">
        <v>213003</v>
      </c>
      <c r="B82" t="s">
        <v>56</v>
      </c>
      <c r="C82" s="1" t="e" cm="1">
        <f t="array" aca="1" ref="C82" ca="1">_xlfn.LET(
_xlpm.texto,B82,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2" s="1" t="e" cm="1">
        <f t="array" aca="1" ref="D82" ca="1">_xlfn.LET(
_xlpm.texto,B82,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2" s="1" t="s">
        <v>246</v>
      </c>
      <c r="F82" s="1"/>
      <c r="G82" s="7" t="s">
        <v>279</v>
      </c>
      <c r="H82" s="1"/>
      <c r="I82" s="1"/>
      <c r="J82" s="1"/>
      <c r="K82" s="1"/>
      <c r="L82" s="3"/>
      <c r="M82" s="5">
        <v>7.3999999999999996E-2</v>
      </c>
      <c r="N82" s="6">
        <f>IFERROR(Tabla1[[#This Row],[COSTO NETO]]/(1-Tabla1[[#This Row],[MARGEN]]),Tabla1[[#This Row],[COSTO NETO]])</f>
        <v>0</v>
      </c>
    </row>
    <row r="83" spans="1:14" x14ac:dyDescent="0.25">
      <c r="A83" s="1">
        <v>213005</v>
      </c>
      <c r="B83" t="s">
        <v>57</v>
      </c>
      <c r="C83" s="1" t="e" cm="1">
        <f t="array" aca="1" ref="C83" ca="1">_xlfn.LET(
_xlpm.texto,B83,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3" s="1" t="e" cm="1">
        <f t="array" aca="1" ref="D83" ca="1">_xlfn.LET(
_xlpm.texto,B83,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3" s="1" t="s">
        <v>243</v>
      </c>
      <c r="F83" s="1"/>
      <c r="G83" s="7" t="s">
        <v>279</v>
      </c>
      <c r="H83" s="1"/>
      <c r="I83" s="1"/>
      <c r="J83" s="1"/>
      <c r="K83" s="1"/>
      <c r="L83" s="3"/>
      <c r="M83" s="5">
        <v>0.21130032055972847</v>
      </c>
      <c r="N83" s="6">
        <f>IFERROR(Tabla1[[#This Row],[COSTO NETO]]/(1-Tabla1[[#This Row],[MARGEN]]),Tabla1[[#This Row],[COSTO NETO]])</f>
        <v>0</v>
      </c>
    </row>
    <row r="84" spans="1:14" x14ac:dyDescent="0.25">
      <c r="A84" s="1">
        <v>213006</v>
      </c>
      <c r="B84" t="s">
        <v>58</v>
      </c>
      <c r="C84" s="1" t="e" cm="1">
        <f t="array" aca="1" ref="C84" ca="1">_xlfn.LET(
_xlpm.texto,B84,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4" s="1" t="e" cm="1">
        <f t="array" aca="1" ref="D84" ca="1">_xlfn.LET(
_xlpm.texto,B84,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4" s="1" t="s">
        <v>243</v>
      </c>
      <c r="F84" s="1"/>
      <c r="G84" s="7" t="s">
        <v>279</v>
      </c>
      <c r="H84" s="1"/>
      <c r="I84" s="1"/>
      <c r="J84" s="1"/>
      <c r="K84" s="1"/>
      <c r="L84" s="3"/>
      <c r="M84" s="5">
        <v>0.21235282126444044</v>
      </c>
      <c r="N84" s="6">
        <f>IFERROR(Tabla1[[#This Row],[COSTO NETO]]/(1-Tabla1[[#This Row],[MARGEN]]),Tabla1[[#This Row],[COSTO NETO]])</f>
        <v>0</v>
      </c>
    </row>
    <row r="85" spans="1:14" x14ac:dyDescent="0.25">
      <c r="A85" s="1">
        <v>213008</v>
      </c>
      <c r="B85" t="s">
        <v>59</v>
      </c>
      <c r="C85" s="1" t="e" cm="1">
        <f t="array" aca="1" ref="C85" ca="1">_xlfn.LET(
_xlpm.texto,B85,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5" s="1" t="e" cm="1">
        <f t="array" aca="1" ref="D85" ca="1">_xlfn.LET(
_xlpm.texto,B85,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5" s="1" t="s">
        <v>243</v>
      </c>
      <c r="F85" s="1"/>
      <c r="G85" s="7" t="s">
        <v>279</v>
      </c>
      <c r="H85" s="1"/>
      <c r="I85" s="1"/>
      <c r="J85" s="1"/>
      <c r="K85" s="1"/>
      <c r="L85" s="3"/>
      <c r="M85" s="5">
        <v>0.21104300244067153</v>
      </c>
      <c r="N85" s="6">
        <f>IFERROR(Tabla1[[#This Row],[COSTO NETO]]/(1-Tabla1[[#This Row],[MARGEN]]),Tabla1[[#This Row],[COSTO NETO]])</f>
        <v>0</v>
      </c>
    </row>
    <row r="86" spans="1:14" x14ac:dyDescent="0.25">
      <c r="A86" s="1">
        <v>213011</v>
      </c>
      <c r="B86" t="s">
        <v>189</v>
      </c>
      <c r="C86" s="1" t="e" cm="1">
        <f t="array" aca="1" ref="C86" ca="1">_xlfn.LET(
_xlpm.texto,B86,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6" s="1" t="e" cm="1">
        <f t="array" aca="1" ref="D86" ca="1">_xlfn.LET(
_xlpm.texto,B86,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6" s="1" t="s">
        <v>238</v>
      </c>
      <c r="F86" s="1"/>
      <c r="G86" s="7" t="s">
        <v>279</v>
      </c>
      <c r="H86" s="1"/>
      <c r="I86" s="1"/>
      <c r="J86" s="1"/>
      <c r="K86" s="1"/>
      <c r="L86" s="3"/>
      <c r="M86" s="5">
        <v>0.2088460067822383</v>
      </c>
      <c r="N86" s="6">
        <f>IFERROR(Tabla1[[#This Row],[COSTO NETO]]/(1-Tabla1[[#This Row],[MARGEN]]),Tabla1[[#This Row],[COSTO NETO]])</f>
        <v>0</v>
      </c>
    </row>
    <row r="87" spans="1:14" x14ac:dyDescent="0.25">
      <c r="A87" s="1">
        <v>213012</v>
      </c>
      <c r="B87" t="s">
        <v>190</v>
      </c>
      <c r="C87" s="1" t="e" cm="1">
        <f t="array" aca="1" ref="C87" ca="1">_xlfn.LET(
_xlpm.texto,B87,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7" s="1" t="e" cm="1">
        <f t="array" aca="1" ref="D87" ca="1">_xlfn.LET(
_xlpm.texto,B87,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7" s="1" t="s">
        <v>238</v>
      </c>
      <c r="F87" s="1"/>
      <c r="G87" s="7" t="s">
        <v>279</v>
      </c>
      <c r="H87" s="1"/>
      <c r="I87" s="1"/>
      <c r="J87" s="1"/>
      <c r="K87" s="1"/>
      <c r="L87" s="3"/>
      <c r="M87" s="5">
        <v>0.21017748727423846</v>
      </c>
      <c r="N87" s="6">
        <f>IFERROR(Tabla1[[#This Row],[COSTO NETO]]/(1-Tabla1[[#This Row],[MARGEN]]),Tabla1[[#This Row],[COSTO NETO]])</f>
        <v>0</v>
      </c>
    </row>
    <row r="88" spans="1:14" x14ac:dyDescent="0.25">
      <c r="A88" s="1">
        <v>213017</v>
      </c>
      <c r="B88" t="s">
        <v>60</v>
      </c>
      <c r="C88" s="1" t="e" cm="1">
        <f t="array" aca="1" ref="C88" ca="1">_xlfn.LET(
_xlpm.texto,B88,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8" s="1" t="e" cm="1">
        <f t="array" aca="1" ref="D88" ca="1">_xlfn.LET(
_xlpm.texto,B88,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8" s="1" t="s">
        <v>240</v>
      </c>
      <c r="F88" s="1"/>
      <c r="G88" s="7" t="s">
        <v>279</v>
      </c>
      <c r="H88" s="1"/>
      <c r="I88" s="2" t="s">
        <v>261</v>
      </c>
      <c r="J88" s="1"/>
      <c r="K88" s="1"/>
      <c r="L88" s="3"/>
      <c r="M88" s="5">
        <v>0.17</v>
      </c>
      <c r="N88" s="6">
        <f>IFERROR(Tabla1[[#This Row],[COSTO NETO]]/(1-Tabla1[[#This Row],[MARGEN]]),Tabla1[[#This Row],[COSTO NETO]])</f>
        <v>0</v>
      </c>
    </row>
    <row r="89" spans="1:14" x14ac:dyDescent="0.25">
      <c r="A89" s="1">
        <v>213018</v>
      </c>
      <c r="B89" t="s">
        <v>61</v>
      </c>
      <c r="C89" s="1" t="e" cm="1">
        <f t="array" aca="1" ref="C89" ca="1">_xlfn.LET(
_xlpm.texto,B89,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89" s="1" t="e" cm="1">
        <f t="array" aca="1" ref="D89" ca="1">_xlfn.LET(
_xlpm.texto,B89,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89" s="1" t="s">
        <v>238</v>
      </c>
      <c r="F89" s="1"/>
      <c r="G89" s="7" t="s">
        <v>279</v>
      </c>
      <c r="H89" s="1"/>
      <c r="I89" s="1"/>
      <c r="J89" s="1"/>
      <c r="K89" s="1"/>
      <c r="L89" s="3"/>
      <c r="M89" s="5">
        <v>0.2093864926895791</v>
      </c>
      <c r="N89" s="6">
        <f>IFERROR(Tabla1[[#This Row],[COSTO NETO]]/(1-Tabla1[[#This Row],[MARGEN]]),Tabla1[[#This Row],[COSTO NETO]])</f>
        <v>0</v>
      </c>
    </row>
    <row r="90" spans="1:14" x14ac:dyDescent="0.25">
      <c r="A90" s="1">
        <v>213020</v>
      </c>
      <c r="B90" t="s">
        <v>187</v>
      </c>
      <c r="C90" s="1" t="e" cm="1">
        <f t="array" aca="1" ref="C90" ca="1">_xlfn.LET(
_xlpm.texto,B90,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0" s="1" t="e" cm="1">
        <f t="array" aca="1" ref="D90" ca="1">_xlfn.LET(
_xlpm.texto,B90,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0" s="1" t="s">
        <v>238</v>
      </c>
      <c r="F90" s="1"/>
      <c r="G90" s="7" t="s">
        <v>279</v>
      </c>
      <c r="H90" s="1"/>
      <c r="I90" s="1"/>
      <c r="J90" s="1"/>
      <c r="K90" s="1"/>
      <c r="L90" s="3"/>
      <c r="M90" s="5">
        <v>0.20208377089298202</v>
      </c>
      <c r="N90" s="6">
        <f>IFERROR(Tabla1[[#This Row],[COSTO NETO]]/(1-Tabla1[[#This Row],[MARGEN]]),Tabla1[[#This Row],[COSTO NETO]])</f>
        <v>0</v>
      </c>
    </row>
    <row r="91" spans="1:14" x14ac:dyDescent="0.25">
      <c r="A91" s="1">
        <v>213021</v>
      </c>
      <c r="B91" t="s">
        <v>62</v>
      </c>
      <c r="C91" s="1" t="e" cm="1">
        <f t="array" aca="1" ref="C91" ca="1">_xlfn.LET(
_xlpm.texto,B91,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1" s="1" t="e" cm="1">
        <f t="array" aca="1" ref="D91" ca="1">_xlfn.LET(
_xlpm.texto,B91,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1" s="1" t="s">
        <v>247</v>
      </c>
      <c r="F91" s="1"/>
      <c r="G91" s="7" t="s">
        <v>279</v>
      </c>
      <c r="H91" s="1"/>
      <c r="I91" s="1"/>
      <c r="J91" s="1"/>
      <c r="K91" s="1"/>
      <c r="L91" s="3"/>
      <c r="M91" s="5">
        <v>0.21562646389158213</v>
      </c>
      <c r="N91" s="6">
        <f>IFERROR(Tabla1[[#This Row],[COSTO NETO]]/(1-Tabla1[[#This Row],[MARGEN]]),Tabla1[[#This Row],[COSTO NETO]])</f>
        <v>0</v>
      </c>
    </row>
    <row r="92" spans="1:14" x14ac:dyDescent="0.25">
      <c r="A92" s="1">
        <v>213022</v>
      </c>
      <c r="B92" t="s">
        <v>63</v>
      </c>
      <c r="C92" s="1" t="e" cm="1">
        <f t="array" aca="1" ref="C92" ca="1">_xlfn.LET(
_xlpm.texto,B92,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2" s="1" t="e" cm="1">
        <f t="array" aca="1" ref="D92" ca="1">_xlfn.LET(
_xlpm.texto,B92,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2" s="1" t="s">
        <v>164</v>
      </c>
      <c r="F92" s="1"/>
      <c r="G92" s="7" t="s">
        <v>279</v>
      </c>
      <c r="H92" s="1"/>
      <c r="I92" s="1"/>
      <c r="J92" s="1"/>
      <c r="K92" s="1"/>
      <c r="L92" s="3"/>
      <c r="M92" s="5">
        <v>0.1</v>
      </c>
      <c r="N92" s="6">
        <f>IFERROR(Tabla1[[#This Row],[COSTO NETO]]/(1-Tabla1[[#This Row],[MARGEN]]),Tabla1[[#This Row],[COSTO NETO]])</f>
        <v>0</v>
      </c>
    </row>
    <row r="93" spans="1:14" x14ac:dyDescent="0.25">
      <c r="A93" s="1">
        <v>213024</v>
      </c>
      <c r="B93" t="s">
        <v>64</v>
      </c>
      <c r="C93" s="1" t="e" cm="1">
        <f t="array" aca="1" ref="C93" ca="1">_xlfn.LET(
_xlpm.texto,B93,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3" s="1" t="e" cm="1">
        <f t="array" aca="1" ref="D93" ca="1">_xlfn.LET(
_xlpm.texto,B93,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3" s="1" t="s">
        <v>246</v>
      </c>
      <c r="F93" s="1"/>
      <c r="G93" s="7" t="s">
        <v>279</v>
      </c>
      <c r="H93" s="1"/>
      <c r="I93" s="1"/>
      <c r="J93" s="1"/>
      <c r="K93" s="1"/>
      <c r="L93" s="3"/>
      <c r="M93" s="5">
        <v>0.17</v>
      </c>
      <c r="N93" s="6">
        <f>IFERROR(Tabla1[[#This Row],[COSTO NETO]]/(1-Tabla1[[#This Row],[MARGEN]]),Tabla1[[#This Row],[COSTO NETO]])</f>
        <v>0</v>
      </c>
    </row>
    <row r="94" spans="1:14" x14ac:dyDescent="0.25">
      <c r="A94" s="1">
        <v>213025</v>
      </c>
      <c r="B94" t="s">
        <v>188</v>
      </c>
      <c r="C94" s="1" t="e" cm="1">
        <f t="array" aca="1" ref="C94" ca="1">_xlfn.LET(
_xlpm.texto,B94,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4" s="1" t="e" cm="1">
        <f t="array" aca="1" ref="D94" ca="1">_xlfn.LET(
_xlpm.texto,B94,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4" s="1" t="s">
        <v>296</v>
      </c>
      <c r="F94" s="1"/>
      <c r="G94" s="7" t="s">
        <v>279</v>
      </c>
      <c r="H94" s="1"/>
      <c r="I94" s="1"/>
      <c r="J94" s="1"/>
      <c r="K94" s="1"/>
      <c r="L94" s="3"/>
      <c r="M94" s="5">
        <v>0.17</v>
      </c>
      <c r="N94" s="6">
        <f>IFERROR(Tabla1[[#This Row],[COSTO NETO]]/(1-Tabla1[[#This Row],[MARGEN]]),Tabla1[[#This Row],[COSTO NETO]])</f>
        <v>0</v>
      </c>
    </row>
    <row r="95" spans="1:14" x14ac:dyDescent="0.25">
      <c r="A95" s="1">
        <v>213030</v>
      </c>
      <c r="B95" t="s">
        <v>65</v>
      </c>
      <c r="C95" s="1" t="e" cm="1">
        <f t="array" aca="1" ref="C95" ca="1">_xlfn.LET(
_xlpm.texto,B95,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5" s="1" t="e" cm="1">
        <f t="array" aca="1" ref="D95" ca="1">_xlfn.LET(
_xlpm.texto,B95,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5" s="1" t="s">
        <v>238</v>
      </c>
      <c r="F95" s="1"/>
      <c r="G95" s="7" t="s">
        <v>283</v>
      </c>
      <c r="H95" s="1"/>
      <c r="I95" s="1"/>
      <c r="J95" s="1"/>
      <c r="K95" s="1"/>
      <c r="L95" s="3">
        <v>18109</v>
      </c>
      <c r="M95" s="5">
        <v>0</v>
      </c>
      <c r="N95" s="6">
        <f>IFERROR(Tabla1[[#This Row],[COSTO NETO]]/(1-Tabla1[[#This Row],[MARGEN]]),Tabla1[[#This Row],[COSTO NETO]])</f>
        <v>18109</v>
      </c>
    </row>
    <row r="96" spans="1:14" x14ac:dyDescent="0.25">
      <c r="A96" s="1">
        <v>214001</v>
      </c>
      <c r="B96" t="s">
        <v>199</v>
      </c>
      <c r="C96" s="1" t="e" cm="1">
        <f t="array" aca="1" ref="C96" ca="1">_xlfn.LET(
_xlpm.texto,B96,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6" s="1" t="e" cm="1">
        <f t="array" aca="1" ref="D96" ca="1">_xlfn.LET(
_xlpm.texto,B96,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6" s="1" t="s">
        <v>238</v>
      </c>
      <c r="F96" s="1"/>
      <c r="G96" s="7" t="s">
        <v>283</v>
      </c>
      <c r="H96" s="1"/>
      <c r="I96" s="1"/>
      <c r="J96" s="1"/>
      <c r="K96" s="1"/>
      <c r="L96" s="3"/>
      <c r="M96" s="5">
        <v>0.20498195456797108</v>
      </c>
      <c r="N96" s="6">
        <f>IFERROR(Tabla1[[#This Row],[COSTO NETO]]/(1-Tabla1[[#This Row],[MARGEN]]),Tabla1[[#This Row],[COSTO NETO]])</f>
        <v>0</v>
      </c>
    </row>
    <row r="97" spans="1:14" x14ac:dyDescent="0.25">
      <c r="A97" s="1">
        <v>214002</v>
      </c>
      <c r="B97" t="s">
        <v>66</v>
      </c>
      <c r="C97" s="1" t="e" cm="1">
        <f t="array" aca="1" ref="C97" ca="1">_xlfn.LET(
_xlpm.texto,B97,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7" s="1" t="e" cm="1">
        <f t="array" aca="1" ref="D97" ca="1">_xlfn.LET(
_xlpm.texto,B97,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7" s="1" t="s">
        <v>238</v>
      </c>
      <c r="F97" s="1"/>
      <c r="G97" s="7" t="s">
        <v>279</v>
      </c>
      <c r="H97" s="1"/>
      <c r="I97" s="1"/>
      <c r="J97" s="1"/>
      <c r="K97" s="1"/>
      <c r="L97" s="3"/>
      <c r="M97" s="5">
        <v>0.20421581589777749</v>
      </c>
      <c r="N97" s="6">
        <f>IFERROR(Tabla1[[#This Row],[COSTO NETO]]/(1-Tabla1[[#This Row],[MARGEN]]),Tabla1[[#This Row],[COSTO NETO]])</f>
        <v>0</v>
      </c>
    </row>
    <row r="98" spans="1:14" x14ac:dyDescent="0.25">
      <c r="A98" s="1">
        <v>215001</v>
      </c>
      <c r="B98" t="s">
        <v>67</v>
      </c>
      <c r="C98" s="1" t="e" cm="1">
        <f t="array" aca="1" ref="C98" ca="1">_xlfn.LET(
_xlpm.texto,B98,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8" s="1" t="e" cm="1">
        <f t="array" aca="1" ref="D98" ca="1">_xlfn.LET(
_xlpm.texto,B98,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8" s="1" t="s">
        <v>238</v>
      </c>
      <c r="F98" s="1"/>
      <c r="G98" s="7" t="s">
        <v>279</v>
      </c>
      <c r="H98" s="1"/>
      <c r="I98" s="1"/>
      <c r="J98" s="1"/>
      <c r="K98" s="1"/>
      <c r="L98" s="3"/>
      <c r="M98" s="5">
        <v>0.20592304876239353</v>
      </c>
      <c r="N98" s="6">
        <f>IFERROR(Tabla1[[#This Row],[COSTO NETO]]/(1-Tabla1[[#This Row],[MARGEN]]),Tabla1[[#This Row],[COSTO NETO]])</f>
        <v>0</v>
      </c>
    </row>
    <row r="99" spans="1:14" x14ac:dyDescent="0.25">
      <c r="A99" s="1">
        <v>215002</v>
      </c>
      <c r="B99" t="s">
        <v>200</v>
      </c>
      <c r="C99" s="1" t="e" cm="1">
        <f t="array" aca="1" ref="C99" ca="1">_xlfn.LET(
_xlpm.texto,B99,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99" s="1" t="e" cm="1">
        <f t="array" aca="1" ref="D99" ca="1">_xlfn.LET(
_xlpm.texto,B99,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99" s="1" t="s">
        <v>238</v>
      </c>
      <c r="F99" s="1"/>
      <c r="G99" s="7" t="s">
        <v>279</v>
      </c>
      <c r="H99" s="1"/>
      <c r="I99" s="1"/>
      <c r="J99" s="1"/>
      <c r="K99" s="1"/>
      <c r="L99" s="3"/>
      <c r="M99" s="5">
        <v>0.20414664431959606</v>
      </c>
      <c r="N99" s="6">
        <f>IFERROR(Tabla1[[#This Row],[COSTO NETO]]/(1-Tabla1[[#This Row],[MARGEN]]),Tabla1[[#This Row],[COSTO NETO]])</f>
        <v>0</v>
      </c>
    </row>
    <row r="100" spans="1:14" x14ac:dyDescent="0.25">
      <c r="A100" s="1">
        <v>217001</v>
      </c>
      <c r="B100" t="s">
        <v>211</v>
      </c>
      <c r="C100" s="1" t="e" cm="1">
        <f t="array" aca="1" ref="C100" ca="1">_xlfn.LET(
_xlpm.texto,B100,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0" s="1" t="e" cm="1">
        <f t="array" aca="1" ref="D100" ca="1">_xlfn.LET(
_xlpm.texto,B100,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0" s="1" t="s">
        <v>230</v>
      </c>
      <c r="F100" s="1"/>
      <c r="G100" s="7" t="s">
        <v>279</v>
      </c>
      <c r="H100" s="1"/>
      <c r="I100" s="1"/>
      <c r="J100" s="1"/>
      <c r="K100" s="1"/>
      <c r="L100" s="3"/>
      <c r="M100" s="5">
        <v>0.13</v>
      </c>
      <c r="N100" s="6">
        <f>IFERROR(Tabla1[[#This Row],[COSTO NETO]]/(1-Tabla1[[#This Row],[MARGEN]]),Tabla1[[#This Row],[COSTO NETO]])</f>
        <v>0</v>
      </c>
    </row>
    <row r="101" spans="1:14" x14ac:dyDescent="0.25">
      <c r="A101" s="1">
        <v>217002</v>
      </c>
      <c r="B101" t="s">
        <v>69</v>
      </c>
      <c r="C101" s="1" t="e" cm="1">
        <f t="array" aca="1" ref="C101" ca="1">_xlfn.LET(
_xlpm.texto,B101,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1" s="1" t="e" cm="1">
        <f t="array" aca="1" ref="D101" ca="1">_xlfn.LET(
_xlpm.texto,B101,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1" s="1" t="s">
        <v>248</v>
      </c>
      <c r="F101" s="1"/>
      <c r="G101" s="7" t="s">
        <v>279</v>
      </c>
      <c r="H101" s="1"/>
      <c r="I101" s="1"/>
      <c r="J101" s="1"/>
      <c r="K101" s="1"/>
      <c r="L101" s="3"/>
      <c r="M101" s="5">
        <v>0.21418735095556374</v>
      </c>
      <c r="N101" s="6">
        <f>IFERROR(Tabla1[[#This Row],[COSTO NETO]]/(1-Tabla1[[#This Row],[MARGEN]]),Tabla1[[#This Row],[COSTO NETO]])</f>
        <v>0</v>
      </c>
    </row>
    <row r="102" spans="1:14" x14ac:dyDescent="0.25">
      <c r="A102" s="1">
        <v>217006</v>
      </c>
      <c r="B102" t="s">
        <v>70</v>
      </c>
      <c r="C102" s="1" t="e" cm="1">
        <f t="array" aca="1" ref="C102" ca="1">_xlfn.LET(
_xlpm.texto,B102,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2" s="1" t="e" cm="1">
        <f t="array" aca="1" ref="D102" ca="1">_xlfn.LET(
_xlpm.texto,B102,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2" s="1" t="s">
        <v>244</v>
      </c>
      <c r="F102" s="1"/>
      <c r="G102" s="7" t="s">
        <v>279</v>
      </c>
      <c r="H102" s="1"/>
      <c r="I102" s="2" t="s">
        <v>261</v>
      </c>
      <c r="J102" s="1"/>
      <c r="K102" s="1"/>
      <c r="L102" s="3"/>
      <c r="M102" s="5">
        <v>0.21287490855888802</v>
      </c>
      <c r="N102" s="6">
        <f>IFERROR(Tabla1[[#This Row],[COSTO NETO]]/(1-Tabla1[[#This Row],[MARGEN]]),Tabla1[[#This Row],[COSTO NETO]])</f>
        <v>0</v>
      </c>
    </row>
    <row r="103" spans="1:14" x14ac:dyDescent="0.25">
      <c r="A103" s="1">
        <v>217008</v>
      </c>
      <c r="B103" t="s">
        <v>71</v>
      </c>
      <c r="C103" s="1" t="e" cm="1">
        <f t="array" aca="1" ref="C103" ca="1">_xlfn.LET(
_xlpm.texto,B103,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3" s="1" t="e" cm="1">
        <f t="array" aca="1" ref="D103" ca="1">_xlfn.LET(
_xlpm.texto,B103,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3" s="1" t="s">
        <v>244</v>
      </c>
      <c r="F103" s="1"/>
      <c r="G103" s="7" t="s">
        <v>279</v>
      </c>
      <c r="H103" s="1"/>
      <c r="I103" s="2" t="s">
        <v>261</v>
      </c>
      <c r="J103" s="1"/>
      <c r="K103" s="1"/>
      <c r="L103" s="3"/>
      <c r="M103" s="5">
        <v>0.21470823786674842</v>
      </c>
      <c r="N103" s="6">
        <f>IFERROR(Tabla1[[#This Row],[COSTO NETO]]/(1-Tabla1[[#This Row],[MARGEN]]),Tabla1[[#This Row],[COSTO NETO]])</f>
        <v>0</v>
      </c>
    </row>
    <row r="104" spans="1:14" x14ac:dyDescent="0.25">
      <c r="A104" s="1">
        <v>217011</v>
      </c>
      <c r="B104" t="s">
        <v>72</v>
      </c>
      <c r="C104" s="1" t="e" cm="1">
        <f t="array" aca="1" ref="C104" ca="1">_xlfn.LET(
_xlpm.texto,B104,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4" s="1" t="e" cm="1">
        <f t="array" aca="1" ref="D104" ca="1">_xlfn.LET(
_xlpm.texto,B104,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4" s="1" t="s">
        <v>249</v>
      </c>
      <c r="F104" s="1"/>
      <c r="G104" s="7" t="s">
        <v>283</v>
      </c>
      <c r="H104" s="1"/>
      <c r="I104" s="1"/>
      <c r="J104" s="1"/>
      <c r="K104" s="1"/>
      <c r="L104" s="3"/>
      <c r="M104" s="5">
        <v>0.21291468736724206</v>
      </c>
      <c r="N104" s="6">
        <f>IFERROR(Tabla1[[#This Row],[COSTO NETO]]/(1-Tabla1[[#This Row],[MARGEN]]),Tabla1[[#This Row],[COSTO NETO]])</f>
        <v>0</v>
      </c>
    </row>
    <row r="105" spans="1:14" x14ac:dyDescent="0.25">
      <c r="A105" s="1">
        <v>217012</v>
      </c>
      <c r="B105" t="s">
        <v>214</v>
      </c>
      <c r="C105" s="1" t="e" cm="1">
        <f t="array" aca="1" ref="C105" ca="1">_xlfn.LET(
_xlpm.texto,B105,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5" s="1" t="e" cm="1">
        <f t="array" aca="1" ref="D105" ca="1">_xlfn.LET(
_xlpm.texto,B105,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5" s="1" t="s">
        <v>249</v>
      </c>
      <c r="F105" s="1"/>
      <c r="G105" s="7" t="s">
        <v>279</v>
      </c>
      <c r="H105" s="1"/>
      <c r="I105" s="1"/>
      <c r="J105" s="1"/>
      <c r="K105" s="1"/>
      <c r="L105" s="3"/>
      <c r="M105" s="5">
        <v>0.21210761661208066</v>
      </c>
      <c r="N105" s="6">
        <f>IFERROR(Tabla1[[#This Row],[COSTO NETO]]/(1-Tabla1[[#This Row],[MARGEN]]),Tabla1[[#This Row],[COSTO NETO]])</f>
        <v>0</v>
      </c>
    </row>
    <row r="106" spans="1:14" x14ac:dyDescent="0.25">
      <c r="A106" s="1">
        <v>217018</v>
      </c>
      <c r="B106" t="s">
        <v>73</v>
      </c>
      <c r="C106" s="1" t="e" cm="1">
        <f t="array" aca="1" ref="C106" ca="1">_xlfn.LET(
_xlpm.texto,B106,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6" s="1" t="e" cm="1">
        <f t="array" aca="1" ref="D106" ca="1">_xlfn.LET(
_xlpm.texto,B106,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6" s="1" t="s">
        <v>258</v>
      </c>
      <c r="F106" s="1"/>
      <c r="G106" s="7" t="s">
        <v>279</v>
      </c>
      <c r="H106" s="1"/>
      <c r="I106" s="1"/>
      <c r="J106" s="1"/>
      <c r="K106" s="1"/>
      <c r="L106" s="3"/>
      <c r="M106" s="5">
        <v>0.15</v>
      </c>
      <c r="N106" s="6">
        <f>IFERROR(Tabla1[[#This Row],[COSTO NETO]]/(1-Tabla1[[#This Row],[MARGEN]]),Tabla1[[#This Row],[COSTO NETO]])</f>
        <v>0</v>
      </c>
    </row>
    <row r="107" spans="1:14" x14ac:dyDescent="0.25">
      <c r="A107" s="1">
        <v>217019</v>
      </c>
      <c r="B107" t="s">
        <v>74</v>
      </c>
      <c r="C107" s="1" t="e" cm="1">
        <f t="array" aca="1" ref="C107" ca="1">_xlfn.LET(
_xlpm.texto,B107,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7" s="1" t="e" cm="1">
        <f t="array" aca="1" ref="D107" ca="1">_xlfn.LET(
_xlpm.texto,B107,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7" s="1" t="s">
        <v>230</v>
      </c>
      <c r="F107" s="1"/>
      <c r="G107" s="7" t="s">
        <v>283</v>
      </c>
      <c r="H107" s="1"/>
      <c r="I107" s="1"/>
      <c r="J107" s="1" t="s">
        <v>290</v>
      </c>
      <c r="K107" s="1"/>
      <c r="L107" s="3"/>
      <c r="M107" s="5">
        <v>0.15</v>
      </c>
      <c r="N107" s="6">
        <f>IFERROR(Tabla1[[#This Row],[COSTO NETO]]/(1-Tabla1[[#This Row],[MARGEN]]),Tabla1[[#This Row],[COSTO NETO]])</f>
        <v>0</v>
      </c>
    </row>
    <row r="108" spans="1:14" x14ac:dyDescent="0.25">
      <c r="A108" s="1">
        <v>217020</v>
      </c>
      <c r="B108" t="s">
        <v>75</v>
      </c>
      <c r="C108" s="1" t="e" cm="1">
        <f t="array" aca="1" ref="C108" ca="1">_xlfn.LET(
_xlpm.texto,B108,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8" s="1" t="e" cm="1">
        <f t="array" aca="1" ref="D108" ca="1">_xlfn.LET(
_xlpm.texto,B108,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8" s="1" t="s">
        <v>249</v>
      </c>
      <c r="F108" s="1"/>
      <c r="G108" s="7" t="s">
        <v>283</v>
      </c>
      <c r="H108" s="1"/>
      <c r="I108" s="1"/>
      <c r="J108" s="1"/>
      <c r="K108" s="1"/>
      <c r="L108" s="3"/>
      <c r="M108" s="5">
        <v>0</v>
      </c>
      <c r="N108" s="6">
        <f>IFERROR(Tabla1[[#This Row],[COSTO NETO]]/(1-Tabla1[[#This Row],[MARGEN]]),Tabla1[[#This Row],[COSTO NETO]])</f>
        <v>0</v>
      </c>
    </row>
    <row r="109" spans="1:14" x14ac:dyDescent="0.25">
      <c r="A109" s="1">
        <v>217021</v>
      </c>
      <c r="B109" t="s">
        <v>68</v>
      </c>
      <c r="C109" s="1" t="e" cm="1">
        <f t="array" aca="1" ref="C109" ca="1">_xlfn.LET(
_xlpm.texto,B109,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09" s="1" t="e" cm="1">
        <f t="array" aca="1" ref="D109" ca="1">_xlfn.LET(
_xlpm.texto,B109,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09" s="1" t="s">
        <v>230</v>
      </c>
      <c r="F109" s="1"/>
      <c r="G109" s="7" t="s">
        <v>283</v>
      </c>
      <c r="H109" s="1"/>
      <c r="I109" s="1"/>
      <c r="J109" s="1"/>
      <c r="K109" s="1"/>
      <c r="L109" s="3"/>
      <c r="M109" s="5">
        <v>0</v>
      </c>
      <c r="N109" s="6">
        <f>IFERROR(Tabla1[[#This Row],[COSTO NETO]]/(1-Tabla1[[#This Row],[MARGEN]]),Tabla1[[#This Row],[COSTO NETO]])</f>
        <v>0</v>
      </c>
    </row>
    <row r="110" spans="1:14" x14ac:dyDescent="0.25">
      <c r="A110" s="1">
        <v>217022</v>
      </c>
      <c r="B110" t="s">
        <v>76</v>
      </c>
      <c r="C110" s="1" t="e" cm="1">
        <f t="array" aca="1" ref="C110" ca="1">_xlfn.LET(
_xlpm.texto,B110,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0" s="1" t="e" cm="1">
        <f t="array" aca="1" ref="D110" ca="1">_xlfn.LET(
_xlpm.texto,B110,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0" s="1" t="s">
        <v>299</v>
      </c>
      <c r="F110" s="1"/>
      <c r="G110" s="7" t="s">
        <v>283</v>
      </c>
      <c r="H110" s="1"/>
      <c r="I110" s="1"/>
      <c r="J110" s="1"/>
      <c r="K110" s="1"/>
      <c r="L110" s="3">
        <v>52500</v>
      </c>
      <c r="M110" s="5">
        <v>0</v>
      </c>
      <c r="N110" s="6">
        <f>IFERROR(Tabla1[[#This Row],[COSTO NETO]]/(1-Tabla1[[#This Row],[MARGEN]]),Tabla1[[#This Row],[COSTO NETO]])</f>
        <v>52500</v>
      </c>
    </row>
    <row r="111" spans="1:14" x14ac:dyDescent="0.25">
      <c r="A111" s="1">
        <v>217023</v>
      </c>
      <c r="B111" t="s">
        <v>264</v>
      </c>
      <c r="C111" s="1" t="e" cm="1">
        <f t="array" aca="1" ref="C111" ca="1">_xlfn.LET(
_xlpm.texto,B111,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1" s="1" t="e" cm="1">
        <f t="array" aca="1" ref="D111" ca="1">_xlfn.LET(
_xlpm.texto,B111,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1" s="1" t="s">
        <v>249</v>
      </c>
      <c r="F111" s="1"/>
      <c r="G111" s="7" t="s">
        <v>283</v>
      </c>
      <c r="H111" s="1"/>
      <c r="I111" s="1"/>
      <c r="J111" s="1" t="s">
        <v>286</v>
      </c>
      <c r="K111" s="1" t="s">
        <v>294</v>
      </c>
      <c r="L111" s="3"/>
      <c r="M111" s="5">
        <v>0</v>
      </c>
      <c r="N111" s="6">
        <f>IFERROR(Tabla1[[#This Row],[COSTO NETO]]/(1-Tabla1[[#This Row],[MARGEN]]),Tabla1[[#This Row],[COSTO NETO]])</f>
        <v>0</v>
      </c>
    </row>
    <row r="112" spans="1:14" x14ac:dyDescent="0.25">
      <c r="A112" s="1">
        <v>217024</v>
      </c>
      <c r="B112" t="s">
        <v>77</v>
      </c>
      <c r="C112" s="1" t="e" cm="1">
        <f t="array" aca="1" ref="C112" ca="1">_xlfn.LET(
_xlpm.texto,B112,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2" s="1" t="e" cm="1">
        <f t="array" aca="1" ref="D112" ca="1">_xlfn.LET(
_xlpm.texto,B112,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2" s="1" t="s">
        <v>247</v>
      </c>
      <c r="F112" s="1"/>
      <c r="G112" s="7" t="s">
        <v>283</v>
      </c>
      <c r="H112" s="1"/>
      <c r="I112" s="1"/>
      <c r="J112" s="1"/>
      <c r="K112" s="1"/>
      <c r="L112" s="3"/>
      <c r="M112" s="5">
        <v>0</v>
      </c>
      <c r="N112" s="6">
        <f>IFERROR(Tabla1[[#This Row],[COSTO NETO]]/(1-Tabla1[[#This Row],[MARGEN]]),Tabla1[[#This Row],[COSTO NETO]])</f>
        <v>0</v>
      </c>
    </row>
    <row r="113" spans="1:14" x14ac:dyDescent="0.25">
      <c r="A113" s="1">
        <v>217025</v>
      </c>
      <c r="B113" t="s">
        <v>268</v>
      </c>
      <c r="C113" s="1" t="e" cm="1">
        <f t="array" aca="1" ref="C113" ca="1">_xlfn.LET(
_xlpm.texto,B113,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3" s="1" t="e" cm="1">
        <f t="array" aca="1" ref="D113" ca="1">_xlfn.LET(
_xlpm.texto,B113,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3" s="1" t="s">
        <v>230</v>
      </c>
      <c r="F113" s="1"/>
      <c r="G113" s="7" t="s">
        <v>283</v>
      </c>
      <c r="H113" s="1"/>
      <c r="I113" s="1"/>
      <c r="J113" s="1" t="s">
        <v>287</v>
      </c>
      <c r="K113" s="1"/>
      <c r="L113" s="3"/>
      <c r="M113" s="5">
        <v>0</v>
      </c>
      <c r="N113" s="6">
        <f>IFERROR(Tabla1[[#This Row],[COSTO NETO]]/(1-Tabla1[[#This Row],[MARGEN]]),Tabla1[[#This Row],[COSTO NETO]])</f>
        <v>0</v>
      </c>
    </row>
    <row r="114" spans="1:14" x14ac:dyDescent="0.25">
      <c r="A114" s="1">
        <v>218001</v>
      </c>
      <c r="B114" t="s">
        <v>78</v>
      </c>
      <c r="C114" s="1" t="e" cm="1">
        <f t="array" aca="1" ref="C114" ca="1">_xlfn.LET(
_xlpm.texto,B114,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4" s="1" t="e" cm="1">
        <f t="array" aca="1" ref="D114" ca="1">_xlfn.LET(
_xlpm.texto,B114,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4" s="1" t="s">
        <v>238</v>
      </c>
      <c r="F114" s="1"/>
      <c r="G114" s="7" t="s">
        <v>279</v>
      </c>
      <c r="H114" s="1"/>
      <c r="I114" s="1"/>
      <c r="J114" s="1"/>
      <c r="K114" s="1"/>
      <c r="L114" s="3">
        <v>26013</v>
      </c>
      <c r="M114" s="5">
        <v>0.20640698944302871</v>
      </c>
      <c r="N114" s="6">
        <f>IFERROR(Tabla1[[#This Row],[COSTO NETO]]/(1-Tabla1[[#This Row],[MARGEN]]),Tabla1[[#This Row],[COSTO NETO]])</f>
        <v>32778.766513761468</v>
      </c>
    </row>
    <row r="115" spans="1:14" x14ac:dyDescent="0.25">
      <c r="A115" s="1">
        <v>218002</v>
      </c>
      <c r="B115" t="s">
        <v>79</v>
      </c>
      <c r="C115" s="1" t="e" cm="1">
        <f t="array" aca="1" ref="C115" ca="1">_xlfn.LET(
_xlpm.texto,B115,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5" s="1" t="e" cm="1">
        <f t="array" aca="1" ref="D115" ca="1">_xlfn.LET(
_xlpm.texto,B115,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5" s="1" t="s">
        <v>238</v>
      </c>
      <c r="F115" s="1"/>
      <c r="G115" s="7" t="s">
        <v>283</v>
      </c>
      <c r="H115" s="1"/>
      <c r="I115" s="1"/>
      <c r="J115" s="1"/>
      <c r="K115" s="1"/>
      <c r="L115" s="3"/>
      <c r="M115" s="5">
        <v>0.2059818150423961</v>
      </c>
      <c r="N115" s="6">
        <f>IFERROR(Tabla1[[#This Row],[COSTO NETO]]/(1-Tabla1[[#This Row],[MARGEN]]),Tabla1[[#This Row],[COSTO NETO]])</f>
        <v>0</v>
      </c>
    </row>
    <row r="116" spans="1:14" x14ac:dyDescent="0.25">
      <c r="A116" s="1">
        <v>218003</v>
      </c>
      <c r="B116" t="s">
        <v>80</v>
      </c>
      <c r="C116" s="1" t="e" cm="1">
        <f t="array" aca="1" ref="C116" ca="1">_xlfn.LET(
_xlpm.texto,B116,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6" s="1" t="e" cm="1">
        <f t="array" aca="1" ref="D116" ca="1">_xlfn.LET(
_xlpm.texto,B116,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6" s="1" t="s">
        <v>238</v>
      </c>
      <c r="F116" s="1"/>
      <c r="G116" s="7" t="s">
        <v>279</v>
      </c>
      <c r="H116" s="1"/>
      <c r="I116" s="1"/>
      <c r="J116" s="1"/>
      <c r="K116" s="1"/>
      <c r="L116" s="3"/>
      <c r="M116" s="5">
        <v>0.20376801941100908</v>
      </c>
      <c r="N116" s="6">
        <f>IFERROR(Tabla1[[#This Row],[COSTO NETO]]/(1-Tabla1[[#This Row],[MARGEN]]),Tabla1[[#This Row],[COSTO NETO]])</f>
        <v>0</v>
      </c>
    </row>
    <row r="117" spans="1:14" x14ac:dyDescent="0.25">
      <c r="A117" s="1">
        <v>218004</v>
      </c>
      <c r="B117" t="s">
        <v>81</v>
      </c>
      <c r="C117" s="1" t="e" cm="1">
        <f t="array" aca="1" ref="C117" ca="1">_xlfn.LET(
_xlpm.texto,B117,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7" s="1" t="e" cm="1">
        <f t="array" aca="1" ref="D117" ca="1">_xlfn.LET(
_xlpm.texto,B117,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7" s="1" t="s">
        <v>238</v>
      </c>
      <c r="F117" s="1"/>
      <c r="G117" s="7" t="s">
        <v>283</v>
      </c>
      <c r="H117" s="1"/>
      <c r="I117" s="1"/>
      <c r="J117" s="1"/>
      <c r="K117" s="1"/>
      <c r="L117" s="3"/>
      <c r="M117" s="5">
        <v>0.20590781821524007</v>
      </c>
      <c r="N117" s="6">
        <f>IFERROR(Tabla1[[#This Row],[COSTO NETO]]/(1-Tabla1[[#This Row],[MARGEN]]),Tabla1[[#This Row],[COSTO NETO]])</f>
        <v>0</v>
      </c>
    </row>
    <row r="118" spans="1:14" x14ac:dyDescent="0.25">
      <c r="A118" s="1">
        <v>220002</v>
      </c>
      <c r="B118" t="s">
        <v>82</v>
      </c>
      <c r="C118" s="1" t="e" cm="1">
        <f t="array" aca="1" ref="C118" ca="1">_xlfn.LET(
_xlpm.texto,B118,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8" s="1" t="e" cm="1">
        <f t="array" aca="1" ref="D118" ca="1">_xlfn.LET(
_xlpm.texto,B118,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8" s="1" t="s">
        <v>250</v>
      </c>
      <c r="F118" s="1"/>
      <c r="G118" s="7" t="s">
        <v>279</v>
      </c>
      <c r="H118" s="1"/>
      <c r="I118" s="1"/>
      <c r="J118" s="1" t="s">
        <v>288</v>
      </c>
      <c r="K118" s="1"/>
      <c r="L118" s="3"/>
      <c r="M118" s="5">
        <v>0.2</v>
      </c>
      <c r="N118" s="6">
        <f>IFERROR(Tabla1[[#This Row],[COSTO NETO]]/(1-Tabla1[[#This Row],[MARGEN]]),Tabla1[[#This Row],[COSTO NETO]])</f>
        <v>0</v>
      </c>
    </row>
    <row r="119" spans="1:14" x14ac:dyDescent="0.25">
      <c r="A119" s="1">
        <v>220003</v>
      </c>
      <c r="B119" t="s">
        <v>83</v>
      </c>
      <c r="C119" s="1" t="e" cm="1">
        <f t="array" aca="1" ref="C119" ca="1">_xlfn.LET(
_xlpm.texto,B119,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19" s="1" t="e" cm="1">
        <f t="array" aca="1" ref="D119" ca="1">_xlfn.LET(
_xlpm.texto,B119,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19" s="1" t="s">
        <v>250</v>
      </c>
      <c r="F119" s="1"/>
      <c r="G119" s="7" t="s">
        <v>279</v>
      </c>
      <c r="H119" s="1"/>
      <c r="I119" s="1"/>
      <c r="J119" s="1" t="s">
        <v>288</v>
      </c>
      <c r="K119" s="1"/>
      <c r="L119" s="3"/>
      <c r="M119" s="5">
        <v>0.2</v>
      </c>
      <c r="N119" s="6">
        <f>IFERROR(Tabla1[[#This Row],[COSTO NETO]]/(1-Tabla1[[#This Row],[MARGEN]]),Tabla1[[#This Row],[COSTO NETO]])</f>
        <v>0</v>
      </c>
    </row>
    <row r="120" spans="1:14" x14ac:dyDescent="0.25">
      <c r="A120" s="1">
        <v>221001</v>
      </c>
      <c r="B120" t="s">
        <v>84</v>
      </c>
      <c r="C120" s="1" t="e" cm="1">
        <f t="array" aca="1" ref="C120" ca="1">_xlfn.LET(
_xlpm.texto,B120,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0" s="1" t="e" cm="1">
        <f t="array" aca="1" ref="D120" ca="1">_xlfn.LET(
_xlpm.texto,B120,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0" s="1" t="s">
        <v>238</v>
      </c>
      <c r="F120" s="1"/>
      <c r="G120" s="7" t="s">
        <v>283</v>
      </c>
      <c r="H120" s="1"/>
      <c r="I120" s="1"/>
      <c r="J120" s="1"/>
      <c r="K120" s="1"/>
      <c r="L120" s="3"/>
      <c r="M120" s="5">
        <v>0.20447226983366362</v>
      </c>
      <c r="N120" s="6">
        <f>IFERROR(Tabla1[[#This Row],[COSTO NETO]]/(1-Tabla1[[#This Row],[MARGEN]]),Tabla1[[#This Row],[COSTO NETO]])</f>
        <v>0</v>
      </c>
    </row>
    <row r="121" spans="1:14" x14ac:dyDescent="0.25">
      <c r="A121" s="1">
        <v>221002</v>
      </c>
      <c r="B121" t="s">
        <v>202</v>
      </c>
      <c r="C121" s="1" t="e" cm="1">
        <f t="array" aca="1" ref="C121" ca="1">_xlfn.LET(
_xlpm.texto,B121,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1" s="1" t="e" cm="1">
        <f t="array" aca="1" ref="D121" ca="1">_xlfn.LET(
_xlpm.texto,B121,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1" s="1" t="s">
        <v>238</v>
      </c>
      <c r="F121" s="1"/>
      <c r="G121" s="7" t="s">
        <v>279</v>
      </c>
      <c r="H121" s="1"/>
      <c r="I121" s="1"/>
      <c r="J121" s="1"/>
      <c r="K121" s="1"/>
      <c r="L121" s="3"/>
      <c r="M121" s="5">
        <v>0.20393266795769405</v>
      </c>
      <c r="N121" s="6">
        <f>IFERROR(Tabla1[[#This Row],[COSTO NETO]]/(1-Tabla1[[#This Row],[MARGEN]]),Tabla1[[#This Row],[COSTO NETO]])</f>
        <v>0</v>
      </c>
    </row>
    <row r="122" spans="1:14" x14ac:dyDescent="0.25">
      <c r="A122" s="1">
        <v>221003</v>
      </c>
      <c r="B122" t="s">
        <v>205</v>
      </c>
      <c r="C122" s="1" t="e" cm="1">
        <f t="array" aca="1" ref="C122" ca="1">_xlfn.LET(
_xlpm.texto,B122,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2" s="1" t="e" cm="1">
        <f t="array" aca="1" ref="D122" ca="1">_xlfn.LET(
_xlpm.texto,B122,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2" s="1" t="s">
        <v>238</v>
      </c>
      <c r="F122" s="1"/>
      <c r="G122" s="7" t="s">
        <v>279</v>
      </c>
      <c r="H122" s="1"/>
      <c r="I122" s="1"/>
      <c r="J122" s="1"/>
      <c r="K122" s="1"/>
      <c r="L122" s="3"/>
      <c r="M122" s="5">
        <v>0.20458243832584777</v>
      </c>
      <c r="N122" s="6">
        <f>IFERROR(Tabla1[[#This Row],[COSTO NETO]]/(1-Tabla1[[#This Row],[MARGEN]]),Tabla1[[#This Row],[COSTO NETO]])</f>
        <v>0</v>
      </c>
    </row>
    <row r="123" spans="1:14" x14ac:dyDescent="0.25">
      <c r="A123" s="1">
        <v>221004</v>
      </c>
      <c r="B123" t="s">
        <v>204</v>
      </c>
      <c r="C123" s="1" t="e" cm="1">
        <f t="array" aca="1" ref="C123" ca="1">_xlfn.LET(
_xlpm.texto,B123,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3" s="1" t="e" cm="1">
        <f t="array" aca="1" ref="D123" ca="1">_xlfn.LET(
_xlpm.texto,B123,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3" s="1" t="s">
        <v>238</v>
      </c>
      <c r="F123" s="1"/>
      <c r="G123" s="7" t="s">
        <v>283</v>
      </c>
      <c r="H123" s="1"/>
      <c r="I123" s="1"/>
      <c r="J123" s="1"/>
      <c r="K123" s="1"/>
      <c r="L123" s="3"/>
      <c r="M123" s="5">
        <v>0.20545590328171459</v>
      </c>
      <c r="N123" s="6">
        <f>IFERROR(Tabla1[[#This Row],[COSTO NETO]]/(1-Tabla1[[#This Row],[MARGEN]]),Tabla1[[#This Row],[COSTO NETO]])</f>
        <v>0</v>
      </c>
    </row>
    <row r="124" spans="1:14" x14ac:dyDescent="0.25">
      <c r="A124" s="1">
        <v>221005</v>
      </c>
      <c r="B124" t="s">
        <v>203</v>
      </c>
      <c r="C124" s="1" t="e" cm="1">
        <f t="array" aca="1" ref="C124" ca="1">_xlfn.LET(
_xlpm.texto,B124,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4" s="1" t="e" cm="1">
        <f t="array" aca="1" ref="D124" ca="1">_xlfn.LET(
_xlpm.texto,B124,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4" s="1" t="s">
        <v>238</v>
      </c>
      <c r="F124" s="1"/>
      <c r="G124" s="7" t="s">
        <v>279</v>
      </c>
      <c r="H124" s="1"/>
      <c r="I124" s="1"/>
      <c r="J124" s="1"/>
      <c r="K124" s="1"/>
      <c r="L124" s="3"/>
      <c r="M124" s="5">
        <v>0.20585057757832625</v>
      </c>
      <c r="N124" s="6">
        <f>IFERROR(Tabla1[[#This Row],[COSTO NETO]]/(1-Tabla1[[#This Row],[MARGEN]]),Tabla1[[#This Row],[COSTO NETO]])</f>
        <v>0</v>
      </c>
    </row>
    <row r="125" spans="1:14" x14ac:dyDescent="0.25">
      <c r="A125" s="1">
        <v>222001</v>
      </c>
      <c r="B125" t="s">
        <v>85</v>
      </c>
      <c r="C125" s="1" t="e" cm="1">
        <f t="array" aca="1" ref="C125" ca="1">_xlfn.LET(
_xlpm.texto,B125,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5" s="1" t="e" cm="1">
        <f t="array" aca="1" ref="D125" ca="1">_xlfn.LET(
_xlpm.texto,B125,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5" s="1" t="s">
        <v>233</v>
      </c>
      <c r="F125" s="1"/>
      <c r="G125" s="7" t="s">
        <v>279</v>
      </c>
      <c r="H125" s="1"/>
      <c r="I125" s="1"/>
      <c r="J125" s="1"/>
      <c r="K125" s="1"/>
      <c r="L125" s="3"/>
      <c r="M125" s="5">
        <v>0.15</v>
      </c>
      <c r="N125" s="6">
        <f>IFERROR(Tabla1[[#This Row],[COSTO NETO]]/(1-Tabla1[[#This Row],[MARGEN]]),Tabla1[[#This Row],[COSTO NETO]])</f>
        <v>0</v>
      </c>
    </row>
    <row r="126" spans="1:14" x14ac:dyDescent="0.25">
      <c r="A126" s="1">
        <v>222002</v>
      </c>
      <c r="B126" t="s">
        <v>86</v>
      </c>
      <c r="C126" s="1" t="e" cm="1">
        <f t="array" aca="1" ref="C126" ca="1">_xlfn.LET(
_xlpm.texto,B126,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6" s="1" t="e" cm="1">
        <f t="array" aca="1" ref="D126" ca="1">_xlfn.LET(
_xlpm.texto,B126,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6" s="1" t="s">
        <v>232</v>
      </c>
      <c r="F126" s="1" t="s">
        <v>233</v>
      </c>
      <c r="G126" s="7" t="s">
        <v>279</v>
      </c>
      <c r="H126" s="1"/>
      <c r="I126" s="1"/>
      <c r="J126" s="1"/>
      <c r="K126" s="1"/>
      <c r="L126" s="3"/>
      <c r="M126" s="5">
        <v>0.19117620695218795</v>
      </c>
      <c r="N126" s="6">
        <f>IFERROR(Tabla1[[#This Row],[COSTO NETO]]/(1-Tabla1[[#This Row],[MARGEN]]),Tabla1[[#This Row],[COSTO NETO]])</f>
        <v>0</v>
      </c>
    </row>
    <row r="127" spans="1:14" x14ac:dyDescent="0.25">
      <c r="A127" s="1">
        <v>222005</v>
      </c>
      <c r="B127" t="s">
        <v>87</v>
      </c>
      <c r="C127" s="1" t="e" cm="1">
        <f t="array" aca="1" ref="C127" ca="1">_xlfn.LET(
_xlpm.texto,B127,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7" s="1" t="e" cm="1">
        <f t="array" aca="1" ref="D127" ca="1">_xlfn.LET(
_xlpm.texto,B127,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7" s="1" t="s">
        <v>251</v>
      </c>
      <c r="F127" s="1"/>
      <c r="G127" s="7" t="s">
        <v>283</v>
      </c>
      <c r="H127" s="1"/>
      <c r="I127" s="1"/>
      <c r="J127" s="1"/>
      <c r="K127" s="1"/>
      <c r="L127" s="3"/>
      <c r="M127" s="5">
        <v>0.15</v>
      </c>
      <c r="N127" s="6">
        <f>IFERROR(Tabla1[[#This Row],[COSTO NETO]]/(1-Tabla1[[#This Row],[MARGEN]]),Tabla1[[#This Row],[COSTO NETO]])</f>
        <v>0</v>
      </c>
    </row>
    <row r="128" spans="1:14" x14ac:dyDescent="0.25">
      <c r="A128" s="1">
        <v>222007</v>
      </c>
      <c r="B128" t="s">
        <v>297</v>
      </c>
      <c r="C128" s="1" t="e" cm="1">
        <f t="array" aca="1" ref="C128" ca="1">_xlfn.LET(
_xlpm.texto,B128,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8" s="1" t="e" cm="1">
        <f t="array" aca="1" ref="D128" ca="1">_xlfn.LET(
_xlpm.texto,B128,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8" s="1" t="s">
        <v>232</v>
      </c>
      <c r="F128" s="1" t="s">
        <v>233</v>
      </c>
      <c r="G128" s="7" t="s">
        <v>283</v>
      </c>
      <c r="H128" s="1"/>
      <c r="I128" s="1"/>
      <c r="J128" s="1"/>
      <c r="K128" s="1"/>
      <c r="L128" s="3"/>
      <c r="M128" s="5">
        <v>0.1702611559877657</v>
      </c>
      <c r="N128" s="6">
        <f>IFERROR(Tabla1[[#This Row],[COSTO NETO]]/(1-Tabla1[[#This Row],[MARGEN]]),Tabla1[[#This Row],[COSTO NETO]])</f>
        <v>0</v>
      </c>
    </row>
    <row r="129" spans="1:14" x14ac:dyDescent="0.25">
      <c r="A129" s="1">
        <v>222027</v>
      </c>
      <c r="B129" t="s">
        <v>169</v>
      </c>
      <c r="C129" s="1" t="e" cm="1">
        <f t="array" aca="1" ref="C129" ca="1">_xlfn.LET(
_xlpm.texto,B129,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29" s="1" t="e" cm="1">
        <f t="array" aca="1" ref="D129" ca="1">_xlfn.LET(
_xlpm.texto,B129,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29" s="1" t="s">
        <v>232</v>
      </c>
      <c r="F129" s="1" t="s">
        <v>233</v>
      </c>
      <c r="G129" s="7" t="s">
        <v>283</v>
      </c>
      <c r="H129" s="1"/>
      <c r="I129" s="1"/>
      <c r="J129" s="1"/>
      <c r="K129" s="1"/>
      <c r="L129" s="3"/>
      <c r="M129" s="5">
        <v>0</v>
      </c>
      <c r="N129" s="6">
        <f>IFERROR(Tabla1[[#This Row],[COSTO NETO]]/(1-Tabla1[[#This Row],[MARGEN]]),Tabla1[[#This Row],[COSTO NETO]])</f>
        <v>0</v>
      </c>
    </row>
    <row r="130" spans="1:14" x14ac:dyDescent="0.25">
      <c r="A130" s="1">
        <v>222038</v>
      </c>
      <c r="B130" t="s">
        <v>88</v>
      </c>
      <c r="C130" s="1" t="e" cm="1">
        <f t="array" aca="1" ref="C130" ca="1">_xlfn.LET(
_xlpm.texto,B130,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0" s="1" t="e" cm="1">
        <f t="array" aca="1" ref="D130" ca="1">_xlfn.LET(
_xlpm.texto,B130,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0" s="1" t="s">
        <v>232</v>
      </c>
      <c r="F130" s="1" t="s">
        <v>233</v>
      </c>
      <c r="G130" s="7" t="s">
        <v>279</v>
      </c>
      <c r="H130" s="1"/>
      <c r="I130" s="1"/>
      <c r="J130" s="1"/>
      <c r="K130" s="1"/>
      <c r="L130" s="3"/>
      <c r="M130" s="5">
        <v>0.17</v>
      </c>
      <c r="N130" s="6">
        <f>IFERROR(Tabla1[[#This Row],[COSTO NETO]]/(1-Tabla1[[#This Row],[MARGEN]]),Tabla1[[#This Row],[COSTO NETO]])</f>
        <v>0</v>
      </c>
    </row>
    <row r="131" spans="1:14" x14ac:dyDescent="0.25">
      <c r="A131" s="1">
        <v>223001</v>
      </c>
      <c r="B131" t="s">
        <v>89</v>
      </c>
      <c r="C131" s="1" t="e" cm="1">
        <f t="array" aca="1" ref="C131" ca="1">_xlfn.LET(
_xlpm.texto,B131,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1" s="1" t="e" cm="1">
        <f t="array" aca="1" ref="D131" ca="1">_xlfn.LET(
_xlpm.texto,B131,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1" s="1" t="s">
        <v>249</v>
      </c>
      <c r="F131" s="1"/>
      <c r="G131" s="7" t="s">
        <v>279</v>
      </c>
      <c r="H131" s="1"/>
      <c r="I131" s="1"/>
      <c r="J131" s="1"/>
      <c r="K131" s="1" t="s">
        <v>293</v>
      </c>
      <c r="L131" s="3"/>
      <c r="M131" s="5">
        <v>0.16</v>
      </c>
      <c r="N131" s="6">
        <f>IFERROR(Tabla1[[#This Row],[COSTO NETO]]/(1-Tabla1[[#This Row],[MARGEN]]),Tabla1[[#This Row],[COSTO NETO]])</f>
        <v>0</v>
      </c>
    </row>
    <row r="132" spans="1:14" x14ac:dyDescent="0.25">
      <c r="A132" s="1">
        <v>223002</v>
      </c>
      <c r="B132" t="s">
        <v>90</v>
      </c>
      <c r="C132" s="1" t="e" cm="1">
        <f t="array" aca="1" ref="C132" ca="1">_xlfn.LET(
_xlpm.texto,B132,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2" s="1" t="e" cm="1">
        <f t="array" aca="1" ref="D132" ca="1">_xlfn.LET(
_xlpm.texto,B132,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2" s="1" t="s">
        <v>249</v>
      </c>
      <c r="F132" s="1"/>
      <c r="G132" s="7" t="s">
        <v>279</v>
      </c>
      <c r="H132" s="1"/>
      <c r="I132" s="1"/>
      <c r="J132" s="1"/>
      <c r="K132" s="1"/>
      <c r="L132" s="3"/>
      <c r="M132" s="5">
        <v>0.17</v>
      </c>
      <c r="N132" s="6">
        <f>IFERROR(Tabla1[[#This Row],[COSTO NETO]]/(1-Tabla1[[#This Row],[MARGEN]]),Tabla1[[#This Row],[COSTO NETO]])</f>
        <v>0</v>
      </c>
    </row>
    <row r="133" spans="1:14" x14ac:dyDescent="0.25">
      <c r="A133" s="1">
        <v>223003</v>
      </c>
      <c r="B133" t="s">
        <v>91</v>
      </c>
      <c r="C133" s="1" t="e" cm="1">
        <f t="array" aca="1" ref="C133" ca="1">_xlfn.LET(
_xlpm.texto,B133,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3" s="1" t="e" cm="1">
        <f t="array" aca="1" ref="D133" ca="1">_xlfn.LET(
_xlpm.texto,B133,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3" s="1" t="s">
        <v>249</v>
      </c>
      <c r="F133" s="1"/>
      <c r="G133" s="7" t="s">
        <v>279</v>
      </c>
      <c r="H133" s="1"/>
      <c r="I133" s="1"/>
      <c r="J133" s="1"/>
      <c r="K133" s="1"/>
      <c r="L133" s="3"/>
      <c r="M133" s="5">
        <v>0.18774107128447626</v>
      </c>
      <c r="N133" s="6">
        <f>IFERROR(Tabla1[[#This Row],[COSTO NETO]]/(1-Tabla1[[#This Row],[MARGEN]]),Tabla1[[#This Row],[COSTO NETO]])</f>
        <v>0</v>
      </c>
    </row>
    <row r="134" spans="1:14" x14ac:dyDescent="0.25">
      <c r="A134" s="1">
        <v>223004</v>
      </c>
      <c r="B134" t="s">
        <v>92</v>
      </c>
      <c r="C134" s="1" t="e" cm="1">
        <f t="array" aca="1" ref="C134" ca="1">_xlfn.LET(
_xlpm.texto,B134,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4" s="1" t="e" cm="1">
        <f t="array" aca="1" ref="D134" ca="1">_xlfn.LET(
_xlpm.texto,B134,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4" s="1" t="s">
        <v>249</v>
      </c>
      <c r="F134" s="1"/>
      <c r="G134" s="7" t="s">
        <v>279</v>
      </c>
      <c r="H134" s="1"/>
      <c r="I134" s="1"/>
      <c r="J134" s="1" t="s">
        <v>266</v>
      </c>
      <c r="K134" s="1"/>
      <c r="L134" s="3"/>
      <c r="M134" s="5">
        <v>0.18774107128447626</v>
      </c>
      <c r="N134" s="6">
        <f>IFERROR(Tabla1[[#This Row],[COSTO NETO]]/(1-Tabla1[[#This Row],[MARGEN]]),Tabla1[[#This Row],[COSTO NETO]])</f>
        <v>0</v>
      </c>
    </row>
    <row r="135" spans="1:14" x14ac:dyDescent="0.25">
      <c r="A135" s="1">
        <v>223005</v>
      </c>
      <c r="B135" t="s">
        <v>93</v>
      </c>
      <c r="C135" s="1" t="e" cm="1">
        <f t="array" aca="1" ref="C135" ca="1">_xlfn.LET(
_xlpm.texto,B135,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5" s="1" t="e" cm="1">
        <f t="array" aca="1" ref="D135" ca="1">_xlfn.LET(
_xlpm.texto,B135,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5" s="1" t="s">
        <v>249</v>
      </c>
      <c r="F135" s="1"/>
      <c r="G135" s="7" t="s">
        <v>279</v>
      </c>
      <c r="H135" s="1"/>
      <c r="I135" s="1"/>
      <c r="J135" s="1" t="s">
        <v>266</v>
      </c>
      <c r="K135" s="1"/>
      <c r="L135" s="3"/>
      <c r="M135" s="5">
        <v>0.18855580509715852</v>
      </c>
      <c r="N135" s="6">
        <f>IFERROR(Tabla1[[#This Row],[COSTO NETO]]/(1-Tabla1[[#This Row],[MARGEN]]),Tabla1[[#This Row],[COSTO NETO]])</f>
        <v>0</v>
      </c>
    </row>
    <row r="136" spans="1:14" x14ac:dyDescent="0.25">
      <c r="A136" s="1">
        <v>223006</v>
      </c>
      <c r="B136" t="s">
        <v>94</v>
      </c>
      <c r="C136" s="1" t="e" cm="1">
        <f t="array" aca="1" ref="C136" ca="1">_xlfn.LET(
_xlpm.texto,B136,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6" s="1" t="e" cm="1">
        <f t="array" aca="1" ref="D136" ca="1">_xlfn.LET(
_xlpm.texto,B136,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6" s="1" t="s">
        <v>249</v>
      </c>
      <c r="F136" s="1"/>
      <c r="G136" s="7" t="s">
        <v>279</v>
      </c>
      <c r="H136" s="1"/>
      <c r="I136" s="1"/>
      <c r="J136" s="1"/>
      <c r="K136" s="1"/>
      <c r="L136" s="3"/>
      <c r="M136" s="5">
        <v>0.19203155020730112</v>
      </c>
      <c r="N136" s="6">
        <f>IFERROR(Tabla1[[#This Row],[COSTO NETO]]/(1-Tabla1[[#This Row],[MARGEN]]),Tabla1[[#This Row],[COSTO NETO]])</f>
        <v>0</v>
      </c>
    </row>
    <row r="137" spans="1:14" x14ac:dyDescent="0.25">
      <c r="A137" s="1">
        <v>223007</v>
      </c>
      <c r="B137" t="s">
        <v>95</v>
      </c>
      <c r="C137" s="1" t="e" cm="1">
        <f t="array" aca="1" ref="C137" ca="1">_xlfn.LET(
_xlpm.texto,B137,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7" s="1" t="e" cm="1">
        <f t="array" aca="1" ref="D137" ca="1">_xlfn.LET(
_xlpm.texto,B137,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7" s="1" t="s">
        <v>249</v>
      </c>
      <c r="F137" s="1"/>
      <c r="G137" s="7" t="s">
        <v>279</v>
      </c>
      <c r="H137" s="1"/>
      <c r="I137" s="1"/>
      <c r="J137" s="1"/>
      <c r="K137" s="1"/>
      <c r="L137" s="3"/>
      <c r="M137" s="5">
        <v>0.19203155020730112</v>
      </c>
      <c r="N137" s="6">
        <f>IFERROR(Tabla1[[#This Row],[COSTO NETO]]/(1-Tabla1[[#This Row],[MARGEN]]),Tabla1[[#This Row],[COSTO NETO]])</f>
        <v>0</v>
      </c>
    </row>
    <row r="138" spans="1:14" x14ac:dyDescent="0.25">
      <c r="A138" s="1">
        <v>223015</v>
      </c>
      <c r="B138" t="s">
        <v>176</v>
      </c>
      <c r="C138" s="1" t="e" cm="1">
        <f t="array" aca="1" ref="C138" ca="1">_xlfn.LET(
_xlpm.texto,B138,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8" s="1" t="e" cm="1">
        <f t="array" aca="1" ref="D138" ca="1">_xlfn.LET(
_xlpm.texto,B138,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8" s="1" t="s">
        <v>240</v>
      </c>
      <c r="F138" s="1"/>
      <c r="G138" s="7" t="s">
        <v>283</v>
      </c>
      <c r="H138" s="1"/>
      <c r="I138" s="2" t="s">
        <v>261</v>
      </c>
      <c r="J138" s="1"/>
      <c r="K138" s="1"/>
      <c r="L138" s="3"/>
      <c r="M138" s="5">
        <v>0</v>
      </c>
      <c r="N138" s="6">
        <f>IFERROR(Tabla1[[#This Row],[COSTO NETO]]/(1-Tabla1[[#This Row],[MARGEN]]),Tabla1[[#This Row],[COSTO NETO]])</f>
        <v>0</v>
      </c>
    </row>
    <row r="139" spans="1:14" x14ac:dyDescent="0.25">
      <c r="A139" s="1">
        <v>223016</v>
      </c>
      <c r="B139" t="s">
        <v>172</v>
      </c>
      <c r="C139" s="1" t="e" cm="1">
        <f t="array" aca="1" ref="C139" ca="1">_xlfn.LET(
_xlpm.texto,B139,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39" s="1" t="e" cm="1">
        <f t="array" aca="1" ref="D139" ca="1">_xlfn.LET(
_xlpm.texto,B139,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39" s="1" t="s">
        <v>240</v>
      </c>
      <c r="F139" s="1"/>
      <c r="G139" s="7" t="s">
        <v>283</v>
      </c>
      <c r="H139" s="1"/>
      <c r="I139" s="2" t="s">
        <v>261</v>
      </c>
      <c r="J139" s="1"/>
      <c r="K139" s="1"/>
      <c r="L139" s="3"/>
      <c r="M139" s="5">
        <v>0</v>
      </c>
      <c r="N139" s="6">
        <f>IFERROR(Tabla1[[#This Row],[COSTO NETO]]/(1-Tabla1[[#This Row],[MARGEN]]),Tabla1[[#This Row],[COSTO NETO]])</f>
        <v>0</v>
      </c>
    </row>
    <row r="140" spans="1:14" x14ac:dyDescent="0.25">
      <c r="A140" s="1">
        <v>223017</v>
      </c>
      <c r="B140" t="s">
        <v>96</v>
      </c>
      <c r="C140" s="1" t="e" cm="1">
        <f t="array" aca="1" ref="C140" ca="1">_xlfn.LET(
_xlpm.texto,B140,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0" s="1" t="e" cm="1">
        <f t="array" aca="1" ref="D140" ca="1">_xlfn.LET(
_xlpm.texto,B140,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0" s="1" t="s">
        <v>249</v>
      </c>
      <c r="F140" s="1"/>
      <c r="G140" s="7" t="s">
        <v>279</v>
      </c>
      <c r="H140" s="1"/>
      <c r="I140" s="1"/>
      <c r="J140" s="1"/>
      <c r="K140" s="1"/>
      <c r="L140" s="3"/>
      <c r="M140" s="5">
        <v>0</v>
      </c>
      <c r="N140" s="6">
        <f>IFERROR(Tabla1[[#This Row],[COSTO NETO]]/(1-Tabla1[[#This Row],[MARGEN]]),Tabla1[[#This Row],[COSTO NETO]])</f>
        <v>0</v>
      </c>
    </row>
    <row r="141" spans="1:14" x14ac:dyDescent="0.25">
      <c r="A141" s="1">
        <v>223018</v>
      </c>
      <c r="B141" t="s">
        <v>97</v>
      </c>
      <c r="C141" s="1" t="e" cm="1">
        <f t="array" aca="1" ref="C141" ca="1">_xlfn.LET(
_xlpm.texto,B141,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1" s="1" t="e" cm="1">
        <f t="array" aca="1" ref="D141" ca="1">_xlfn.LET(
_xlpm.texto,B141,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1" s="1" t="s">
        <v>240</v>
      </c>
      <c r="F141" s="1"/>
      <c r="G141" s="7" t="s">
        <v>283</v>
      </c>
      <c r="H141" s="1"/>
      <c r="I141" s="2" t="s">
        <v>261</v>
      </c>
      <c r="J141" s="1" t="s">
        <v>266</v>
      </c>
      <c r="K141" s="1"/>
      <c r="L141" s="3"/>
      <c r="M141" s="5">
        <v>0</v>
      </c>
      <c r="N141" s="6">
        <f>IFERROR(Tabla1[[#This Row],[COSTO NETO]]/(1-Tabla1[[#This Row],[MARGEN]]),Tabla1[[#This Row],[COSTO NETO]])</f>
        <v>0</v>
      </c>
    </row>
    <row r="142" spans="1:14" x14ac:dyDescent="0.25">
      <c r="A142" s="1">
        <v>224001</v>
      </c>
      <c r="B142" t="s">
        <v>98</v>
      </c>
      <c r="C142" s="1" t="e" cm="1">
        <f t="array" aca="1" ref="C142" ca="1">_xlfn.LET(
_xlpm.texto,B142,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2" s="1" t="e" cm="1">
        <f t="array" aca="1" ref="D142" ca="1">_xlfn.LET(
_xlpm.texto,B142,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2" s="1" t="s">
        <v>238</v>
      </c>
      <c r="F142" s="1"/>
      <c r="G142" s="7" t="s">
        <v>279</v>
      </c>
      <c r="H142" s="1"/>
      <c r="I142" s="1"/>
      <c r="J142" s="1"/>
      <c r="K142" s="1"/>
      <c r="L142" s="3"/>
      <c r="M142" s="5">
        <v>0.20282585091285366</v>
      </c>
      <c r="N142" s="6">
        <f>IFERROR(Tabla1[[#This Row],[COSTO NETO]]/(1-Tabla1[[#This Row],[MARGEN]]),Tabla1[[#This Row],[COSTO NETO]])</f>
        <v>0</v>
      </c>
    </row>
    <row r="143" spans="1:14" x14ac:dyDescent="0.25">
      <c r="A143" s="1">
        <v>224002</v>
      </c>
      <c r="B143" t="s">
        <v>99</v>
      </c>
      <c r="C143" s="1" t="e" cm="1">
        <f t="array" aca="1" ref="C143" ca="1">_xlfn.LET(
_xlpm.texto,B143,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3" s="1" t="e" cm="1">
        <f t="array" aca="1" ref="D143" ca="1">_xlfn.LET(
_xlpm.texto,B143,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3" s="1" t="s">
        <v>238</v>
      </c>
      <c r="F143" s="1"/>
      <c r="G143" s="7" t="s">
        <v>283</v>
      </c>
      <c r="H143" s="1"/>
      <c r="I143" s="1"/>
      <c r="J143" s="1"/>
      <c r="K143" s="1"/>
      <c r="L143" s="3"/>
      <c r="M143" s="5">
        <v>0.20310974240434754</v>
      </c>
      <c r="N143" s="6">
        <f>IFERROR(Tabla1[[#This Row],[COSTO NETO]]/(1-Tabla1[[#This Row],[MARGEN]]),Tabla1[[#This Row],[COSTO NETO]])</f>
        <v>0</v>
      </c>
    </row>
    <row r="144" spans="1:14" x14ac:dyDescent="0.25">
      <c r="A144" s="1">
        <v>224003</v>
      </c>
      <c r="B144" t="s">
        <v>206</v>
      </c>
      <c r="C144" s="1" t="e" cm="1">
        <f t="array" aca="1" ref="C144" ca="1">_xlfn.LET(
_xlpm.texto,B144,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4" s="1" t="e" cm="1">
        <f t="array" aca="1" ref="D144" ca="1">_xlfn.LET(
_xlpm.texto,B144,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4" s="1" t="s">
        <v>238</v>
      </c>
      <c r="F144" s="1"/>
      <c r="G144" s="7" t="s">
        <v>283</v>
      </c>
      <c r="H144" s="1"/>
      <c r="I144" s="1"/>
      <c r="J144" s="1"/>
      <c r="K144" s="1"/>
      <c r="L144" s="3"/>
      <c r="M144" s="5">
        <v>0.20318739530040297</v>
      </c>
      <c r="N144" s="6">
        <f>IFERROR(Tabla1[[#This Row],[COSTO NETO]]/(1-Tabla1[[#This Row],[MARGEN]]),Tabla1[[#This Row],[COSTO NETO]])</f>
        <v>0</v>
      </c>
    </row>
    <row r="145" spans="1:14" x14ac:dyDescent="0.25">
      <c r="A145" s="1">
        <v>225001</v>
      </c>
      <c r="B145" t="s">
        <v>100</v>
      </c>
      <c r="C145" s="1" t="e" cm="1">
        <f t="array" aca="1" ref="C145" ca="1">_xlfn.LET(
_xlpm.texto,B145,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5" s="1" t="e" cm="1">
        <f t="array" aca="1" ref="D145" ca="1">_xlfn.LET(
_xlpm.texto,B145,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5" s="1" t="s">
        <v>249</v>
      </c>
      <c r="F145" s="1"/>
      <c r="G145" s="7" t="s">
        <v>279</v>
      </c>
      <c r="H145" s="1"/>
      <c r="I145" s="1"/>
      <c r="J145" s="1"/>
      <c r="K145" s="1"/>
      <c r="L145" s="3"/>
      <c r="M145" s="5">
        <v>0.22194513715710729</v>
      </c>
      <c r="N145" s="6">
        <f>IFERROR(Tabla1[[#This Row],[COSTO NETO]]/(1-Tabla1[[#This Row],[MARGEN]]),Tabla1[[#This Row],[COSTO NETO]])</f>
        <v>0</v>
      </c>
    </row>
    <row r="146" spans="1:14" x14ac:dyDescent="0.25">
      <c r="A146" s="1">
        <v>226001</v>
      </c>
      <c r="B146" t="s">
        <v>101</v>
      </c>
      <c r="C146" s="1" t="e" cm="1">
        <f t="array" aca="1" ref="C146" ca="1">_xlfn.LET(
_xlpm.texto,B146,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6" s="1" t="e" cm="1">
        <f t="array" aca="1" ref="D146" ca="1">_xlfn.LET(
_xlpm.texto,B146,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6" s="1" t="s">
        <v>162</v>
      </c>
      <c r="F146" s="1"/>
      <c r="G146" s="7" t="s">
        <v>283</v>
      </c>
      <c r="H146" s="1"/>
      <c r="I146" s="1"/>
      <c r="J146" s="1"/>
      <c r="K146" s="1"/>
      <c r="L146" s="3">
        <v>55127.97</v>
      </c>
      <c r="M146" s="5">
        <v>0.213397614818574</v>
      </c>
      <c r="N146" s="6">
        <f>IFERROR(Tabla1[[#This Row],[COSTO NETO]]/(1-Tabla1[[#This Row],[MARGEN]]),Tabla1[[#This Row],[COSTO NETO]])</f>
        <v>70083.654764516134</v>
      </c>
    </row>
    <row r="147" spans="1:14" x14ac:dyDescent="0.25">
      <c r="A147" s="1">
        <v>226003</v>
      </c>
      <c r="B147" t="s">
        <v>102</v>
      </c>
      <c r="C147" s="1" t="e" cm="1">
        <f t="array" aca="1" ref="C147" ca="1">_xlfn.LET(
_xlpm.texto,B147,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7" s="1" t="e" cm="1">
        <f t="array" aca="1" ref="D147" ca="1">_xlfn.LET(
_xlpm.texto,B147,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7" s="1" t="s">
        <v>230</v>
      </c>
      <c r="F147" s="1"/>
      <c r="G147" s="7" t="s">
        <v>283</v>
      </c>
      <c r="H147" s="1"/>
      <c r="I147" s="1"/>
      <c r="J147" s="1"/>
      <c r="K147" s="1"/>
      <c r="L147" s="3"/>
      <c r="M147" s="5">
        <v>0.2116818466757624</v>
      </c>
      <c r="N147" s="6">
        <f>IFERROR(Tabla1[[#This Row],[COSTO NETO]]/(1-Tabla1[[#This Row],[MARGEN]]),Tabla1[[#This Row],[COSTO NETO]])</f>
        <v>0</v>
      </c>
    </row>
    <row r="148" spans="1:14" x14ac:dyDescent="0.25">
      <c r="A148" s="1">
        <v>226004</v>
      </c>
      <c r="B148" t="s">
        <v>103</v>
      </c>
      <c r="C148" s="1" t="e" cm="1">
        <f t="array" aca="1" ref="C148" ca="1">_xlfn.LET(
_xlpm.texto,B148,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8" s="1" t="e" cm="1">
        <f t="array" aca="1" ref="D148" ca="1">_xlfn.LET(
_xlpm.texto,B148,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8" s="1" t="s">
        <v>230</v>
      </c>
      <c r="F148" s="1"/>
      <c r="G148" s="7" t="s">
        <v>283</v>
      </c>
      <c r="H148" s="1"/>
      <c r="I148" s="1"/>
      <c r="J148" s="1"/>
      <c r="K148" s="1"/>
      <c r="L148" s="3"/>
      <c r="M148" s="5">
        <v>0.20996574275926505</v>
      </c>
      <c r="N148" s="6">
        <f>IFERROR(Tabla1[[#This Row],[COSTO NETO]]/(1-Tabla1[[#This Row],[MARGEN]]),Tabla1[[#This Row],[COSTO NETO]])</f>
        <v>0</v>
      </c>
    </row>
    <row r="149" spans="1:14" x14ac:dyDescent="0.25">
      <c r="A149" s="1">
        <v>226005</v>
      </c>
      <c r="B149" t="s">
        <v>207</v>
      </c>
      <c r="C149" s="1" t="e" cm="1">
        <f t="array" aca="1" ref="C149" ca="1">_xlfn.LET(
_xlpm.texto,B149,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49" s="1" t="e" cm="1">
        <f t="array" aca="1" ref="D149" ca="1">_xlfn.LET(
_xlpm.texto,B149,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49" s="1" t="s">
        <v>244</v>
      </c>
      <c r="F149" s="1"/>
      <c r="G149" s="7" t="s">
        <v>279</v>
      </c>
      <c r="H149" s="1"/>
      <c r="I149" s="2" t="s">
        <v>261</v>
      </c>
      <c r="J149" s="1"/>
      <c r="K149" s="1"/>
      <c r="L149" s="3"/>
      <c r="M149" s="5">
        <v>0.21110760492268854</v>
      </c>
      <c r="N149" s="6">
        <f>IFERROR(Tabla1[[#This Row],[COSTO NETO]]/(1-Tabla1[[#This Row],[MARGEN]]),Tabla1[[#This Row],[COSTO NETO]])</f>
        <v>0</v>
      </c>
    </row>
    <row r="150" spans="1:14" x14ac:dyDescent="0.25">
      <c r="A150" s="1">
        <v>226009</v>
      </c>
      <c r="B150" t="s">
        <v>104</v>
      </c>
      <c r="C150" s="1" t="e" cm="1">
        <f t="array" aca="1" ref="C150" ca="1">_xlfn.LET(
_xlpm.texto,B150,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0" s="1" t="e" cm="1">
        <f t="array" aca="1" ref="D150" ca="1">_xlfn.LET(
_xlpm.texto,B150,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0" s="1" t="s">
        <v>230</v>
      </c>
      <c r="F150" s="1"/>
      <c r="G150" s="7" t="s">
        <v>283</v>
      </c>
      <c r="H150" s="1"/>
      <c r="I150" s="1"/>
      <c r="J150" s="1"/>
      <c r="K150" s="1"/>
      <c r="L150" s="3"/>
      <c r="M150" s="5">
        <v>0.21429426348636404</v>
      </c>
      <c r="N150" s="6">
        <f>IFERROR(Tabla1[[#This Row],[COSTO NETO]]/(1-Tabla1[[#This Row],[MARGEN]]),Tabla1[[#This Row],[COSTO NETO]])</f>
        <v>0</v>
      </c>
    </row>
    <row r="151" spans="1:14" x14ac:dyDescent="0.25">
      <c r="A151" s="1">
        <v>226022</v>
      </c>
      <c r="B151" t="s">
        <v>105</v>
      </c>
      <c r="C151" s="1" t="e" cm="1">
        <f t="array" aca="1" ref="C151" ca="1">_xlfn.LET(
_xlpm.texto,B151,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1" s="1" t="e" cm="1">
        <f t="array" aca="1" ref="D151" ca="1">_xlfn.LET(
_xlpm.texto,B151,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1" s="1" t="s">
        <v>252</v>
      </c>
      <c r="F151" s="1"/>
      <c r="G151" s="7" t="s">
        <v>279</v>
      </c>
      <c r="H151" s="1"/>
      <c r="I151" s="2" t="s">
        <v>261</v>
      </c>
      <c r="J151" s="1"/>
      <c r="K151" s="1"/>
      <c r="L151" s="3"/>
      <c r="M151" s="5">
        <v>0.21253094710270393</v>
      </c>
      <c r="N151" s="6">
        <f>IFERROR(Tabla1[[#This Row],[COSTO NETO]]/(1-Tabla1[[#This Row],[MARGEN]]),Tabla1[[#This Row],[COSTO NETO]])</f>
        <v>0</v>
      </c>
    </row>
    <row r="152" spans="1:14" x14ac:dyDescent="0.25">
      <c r="A152" s="1">
        <v>226023</v>
      </c>
      <c r="B152" t="s">
        <v>106</v>
      </c>
      <c r="C152" s="1" t="e" cm="1">
        <f t="array" aca="1" ref="C152" ca="1">_xlfn.LET(
_xlpm.texto,B152,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2" s="1" t="e" cm="1">
        <f t="array" aca="1" ref="D152" ca="1">_xlfn.LET(
_xlpm.texto,B152,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2" s="1" t="s">
        <v>252</v>
      </c>
      <c r="F152" s="1"/>
      <c r="G152" s="7" t="s">
        <v>279</v>
      </c>
      <c r="H152" s="1"/>
      <c r="I152" s="2" t="s">
        <v>261</v>
      </c>
      <c r="J152" s="1"/>
      <c r="K152" s="1"/>
      <c r="L152" s="3"/>
      <c r="M152" s="5">
        <v>0.21166605905942404</v>
      </c>
      <c r="N152" s="6">
        <f>IFERROR(Tabla1[[#This Row],[COSTO NETO]]/(1-Tabla1[[#This Row],[MARGEN]]),Tabla1[[#This Row],[COSTO NETO]])</f>
        <v>0</v>
      </c>
    </row>
    <row r="153" spans="1:14" x14ac:dyDescent="0.25">
      <c r="A153" s="1">
        <v>226024</v>
      </c>
      <c r="B153" t="s">
        <v>107</v>
      </c>
      <c r="C153" s="1" t="e" cm="1">
        <f t="array" aca="1" ref="C153" ca="1">_xlfn.LET(
_xlpm.texto,B153,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3" s="1" t="e" cm="1">
        <f t="array" aca="1" ref="D153" ca="1">_xlfn.LET(
_xlpm.texto,B153,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3" s="1" t="s">
        <v>252</v>
      </c>
      <c r="F153" s="1"/>
      <c r="G153" s="7" t="s">
        <v>283</v>
      </c>
      <c r="H153" s="1"/>
      <c r="I153" s="2" t="s">
        <v>261</v>
      </c>
      <c r="J153" s="1"/>
      <c r="K153" s="1"/>
      <c r="L153" s="3"/>
      <c r="M153" s="5">
        <v>0.21317488537475437</v>
      </c>
      <c r="N153" s="6">
        <f>IFERROR(Tabla1[[#This Row],[COSTO NETO]]/(1-Tabla1[[#This Row],[MARGEN]]),Tabla1[[#This Row],[COSTO NETO]])</f>
        <v>0</v>
      </c>
    </row>
    <row r="154" spans="1:14" x14ac:dyDescent="0.25">
      <c r="A154" s="1">
        <v>226025</v>
      </c>
      <c r="B154" t="s">
        <v>108</v>
      </c>
      <c r="C154" s="1" t="e" cm="1">
        <f t="array" aca="1" ref="C154" ca="1">_xlfn.LET(
_xlpm.texto,B154,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4" s="1" t="e" cm="1">
        <f t="array" aca="1" ref="D154" ca="1">_xlfn.LET(
_xlpm.texto,B154,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4" s="1" t="s">
        <v>253</v>
      </c>
      <c r="F154" s="1"/>
      <c r="G154" s="7" t="s">
        <v>279</v>
      </c>
      <c r="H154" s="1"/>
      <c r="I154" s="2" t="s">
        <v>261</v>
      </c>
      <c r="J154" s="1"/>
      <c r="K154" s="1"/>
      <c r="L154" s="3"/>
      <c r="M154" s="5">
        <v>0.2</v>
      </c>
      <c r="N154" s="6">
        <f>IFERROR(Tabla1[[#This Row],[COSTO NETO]]/(1-Tabla1[[#This Row],[MARGEN]]),Tabla1[[#This Row],[COSTO NETO]])</f>
        <v>0</v>
      </c>
    </row>
    <row r="155" spans="1:14" x14ac:dyDescent="0.25">
      <c r="A155" s="1">
        <v>226026</v>
      </c>
      <c r="B155" t="s">
        <v>278</v>
      </c>
      <c r="C155" s="1" t="e" cm="1">
        <f t="array" aca="1" ref="C155" ca="1">_xlfn.LET(
_xlpm.texto,B155,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5" s="1" t="e" cm="1">
        <f t="array" aca="1" ref="D155" ca="1">_xlfn.LET(
_xlpm.texto,B155,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5" s="1" t="s">
        <v>253</v>
      </c>
      <c r="F155" s="1"/>
      <c r="G155" s="7" t="s">
        <v>283</v>
      </c>
      <c r="H155" s="1"/>
      <c r="I155" s="2" t="s">
        <v>261</v>
      </c>
      <c r="J155" s="1"/>
      <c r="K155" s="1"/>
      <c r="L155" s="3"/>
      <c r="M155" s="5">
        <v>0.2</v>
      </c>
      <c r="N155" s="6">
        <f>IFERROR(Tabla1[[#This Row],[COSTO NETO]]/(1-Tabla1[[#This Row],[MARGEN]]),Tabla1[[#This Row],[COSTO NETO]])</f>
        <v>0</v>
      </c>
    </row>
    <row r="156" spans="1:14" x14ac:dyDescent="0.25">
      <c r="A156" s="1">
        <v>226027</v>
      </c>
      <c r="B156" t="s">
        <v>109</v>
      </c>
      <c r="C156" s="1" t="e" cm="1">
        <f t="array" aca="1" ref="C156" ca="1">_xlfn.LET(
_xlpm.texto,B156,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6" s="1" t="e" cm="1">
        <f t="array" aca="1" ref="D156" ca="1">_xlfn.LET(
_xlpm.texto,B156,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6" s="1" t="s">
        <v>252</v>
      </c>
      <c r="F156" s="1"/>
      <c r="G156" s="7" t="s">
        <v>279</v>
      </c>
      <c r="H156" s="1"/>
      <c r="I156" s="2" t="s">
        <v>261</v>
      </c>
      <c r="J156" s="1"/>
      <c r="K156" s="1"/>
      <c r="L156" s="3"/>
      <c r="M156" s="5">
        <v>0</v>
      </c>
      <c r="N156" s="6">
        <f>IFERROR(Tabla1[[#This Row],[COSTO NETO]]/(1-Tabla1[[#This Row],[MARGEN]]),Tabla1[[#This Row],[COSTO NETO]])</f>
        <v>0</v>
      </c>
    </row>
    <row r="157" spans="1:14" x14ac:dyDescent="0.25">
      <c r="A157" s="1">
        <v>226028</v>
      </c>
      <c r="B157" t="s">
        <v>110</v>
      </c>
      <c r="C157" s="1" t="e" cm="1">
        <f t="array" aca="1" ref="C157" ca="1">_xlfn.LET(
_xlpm.texto,B157,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7" s="1" t="e" cm="1">
        <f t="array" aca="1" ref="D157" ca="1">_xlfn.LET(
_xlpm.texto,B157,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7" s="1" t="s">
        <v>252</v>
      </c>
      <c r="F157" s="1"/>
      <c r="G157" s="7" t="s">
        <v>279</v>
      </c>
      <c r="H157" s="1"/>
      <c r="I157" s="2" t="s">
        <v>261</v>
      </c>
      <c r="J157" s="1"/>
      <c r="K157" s="1"/>
      <c r="L157" s="3"/>
      <c r="M157" s="5">
        <v>0</v>
      </c>
      <c r="N157" s="6">
        <f>IFERROR(Tabla1[[#This Row],[COSTO NETO]]/(1-Tabla1[[#This Row],[MARGEN]]),Tabla1[[#This Row],[COSTO NETO]])</f>
        <v>0</v>
      </c>
    </row>
    <row r="158" spans="1:14" x14ac:dyDescent="0.25">
      <c r="A158" s="1">
        <v>226029</v>
      </c>
      <c r="B158" t="s">
        <v>111</v>
      </c>
      <c r="C158" s="1" t="e" cm="1">
        <f t="array" aca="1" ref="C158" ca="1">_xlfn.LET(
_xlpm.texto,B158,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8" s="1" t="e" cm="1">
        <f t="array" aca="1" ref="D158" ca="1">_xlfn.LET(
_xlpm.texto,B158,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8" s="1" t="s">
        <v>299</v>
      </c>
      <c r="F158" s="1"/>
      <c r="G158" s="7" t="s">
        <v>283</v>
      </c>
      <c r="H158" s="1"/>
      <c r="I158" s="1"/>
      <c r="J158" s="1"/>
      <c r="K158" s="1"/>
      <c r="L158" s="3"/>
      <c r="M158" s="5">
        <v>0</v>
      </c>
      <c r="N158" s="6">
        <f>IFERROR(Tabla1[[#This Row],[COSTO NETO]]/(1-Tabla1[[#This Row],[MARGEN]]),Tabla1[[#This Row],[COSTO NETO]])</f>
        <v>0</v>
      </c>
    </row>
    <row r="159" spans="1:14" x14ac:dyDescent="0.25">
      <c r="A159" s="1">
        <v>226030</v>
      </c>
      <c r="B159" t="s">
        <v>112</v>
      </c>
      <c r="C159" s="1" t="e" cm="1">
        <f t="array" aca="1" ref="C159" ca="1">_xlfn.LET(
_xlpm.texto,B159,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59" s="1" t="e" cm="1">
        <f t="array" aca="1" ref="D159" ca="1">_xlfn.LET(
_xlpm.texto,B159,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59" s="1" t="s">
        <v>240</v>
      </c>
      <c r="F159" s="1"/>
      <c r="G159" s="7" t="s">
        <v>283</v>
      </c>
      <c r="H159" s="1"/>
      <c r="I159" s="2" t="s">
        <v>261</v>
      </c>
      <c r="J159" s="1"/>
      <c r="K159" s="1"/>
      <c r="L159" s="3"/>
      <c r="M159" s="5">
        <v>0</v>
      </c>
      <c r="N159" s="6">
        <f>IFERROR(Tabla1[[#This Row],[COSTO NETO]]/(1-Tabla1[[#This Row],[MARGEN]]),Tabla1[[#This Row],[COSTO NETO]])</f>
        <v>0</v>
      </c>
    </row>
    <row r="160" spans="1:14" x14ac:dyDescent="0.25">
      <c r="A160" s="1">
        <v>226031</v>
      </c>
      <c r="B160" t="s">
        <v>113</v>
      </c>
      <c r="C160" s="1" t="e" cm="1">
        <f t="array" aca="1" ref="C160" ca="1">_xlfn.LET(
_xlpm.texto,B160,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0" s="1" t="e" cm="1">
        <f t="array" aca="1" ref="D160" ca="1">_xlfn.LET(
_xlpm.texto,B160,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0" s="1" t="s">
        <v>252</v>
      </c>
      <c r="F160" s="1"/>
      <c r="G160" s="7" t="s">
        <v>283</v>
      </c>
      <c r="H160" s="1"/>
      <c r="I160" s="2" t="s">
        <v>261</v>
      </c>
      <c r="J160" s="1"/>
      <c r="K160" s="1"/>
      <c r="L160" s="3"/>
      <c r="M160" s="5">
        <v>0</v>
      </c>
      <c r="N160" s="6">
        <f>IFERROR(Tabla1[[#This Row],[COSTO NETO]]/(1-Tabla1[[#This Row],[MARGEN]]),Tabla1[[#This Row],[COSTO NETO]])</f>
        <v>0</v>
      </c>
    </row>
    <row r="161" spans="1:14" x14ac:dyDescent="0.25">
      <c r="A161" s="1">
        <v>226032</v>
      </c>
      <c r="B161" t="s">
        <v>114</v>
      </c>
      <c r="C161" s="1" t="e" cm="1">
        <f t="array" aca="1" ref="C161" ca="1">_xlfn.LET(
_xlpm.texto,B161,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1" s="1" t="e" cm="1">
        <f t="array" aca="1" ref="D161" ca="1">_xlfn.LET(
_xlpm.texto,B161,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1" s="1" t="s">
        <v>240</v>
      </c>
      <c r="F161" s="1"/>
      <c r="G161" s="7" t="s">
        <v>283</v>
      </c>
      <c r="H161" s="1"/>
      <c r="I161" s="2" t="s">
        <v>261</v>
      </c>
      <c r="J161" s="1"/>
      <c r="K161" s="1"/>
      <c r="L161" s="3"/>
      <c r="M161" s="5">
        <v>0</v>
      </c>
      <c r="N161" s="6">
        <f>IFERROR(Tabla1[[#This Row],[COSTO NETO]]/(1-Tabla1[[#This Row],[MARGEN]]),Tabla1[[#This Row],[COSTO NETO]])</f>
        <v>0</v>
      </c>
    </row>
    <row r="162" spans="1:14" x14ac:dyDescent="0.25">
      <c r="A162" s="1">
        <v>226033</v>
      </c>
      <c r="B162" t="s">
        <v>115</v>
      </c>
      <c r="C162" s="1" t="e" cm="1">
        <f t="array" aca="1" ref="C162" ca="1">_xlfn.LET(
_xlpm.texto,B162,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2" s="1" t="e" cm="1">
        <f t="array" aca="1" ref="D162" ca="1">_xlfn.LET(
_xlpm.texto,B162,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2" s="1" t="s">
        <v>254</v>
      </c>
      <c r="F162" s="1"/>
      <c r="G162" s="7" t="s">
        <v>283</v>
      </c>
      <c r="H162" s="1"/>
      <c r="I162" s="1"/>
      <c r="J162" s="1"/>
      <c r="K162" s="1"/>
      <c r="L162" s="3"/>
      <c r="M162" s="5">
        <v>0</v>
      </c>
      <c r="N162" s="6">
        <f>IFERROR(Tabla1[[#This Row],[COSTO NETO]]/(1-Tabla1[[#This Row],[MARGEN]]),Tabla1[[#This Row],[COSTO NETO]])</f>
        <v>0</v>
      </c>
    </row>
    <row r="163" spans="1:14" x14ac:dyDescent="0.25">
      <c r="A163" s="1">
        <v>227001</v>
      </c>
      <c r="B163" t="s">
        <v>116</v>
      </c>
      <c r="C163" s="1" t="e" cm="1">
        <f t="array" aca="1" ref="C163" ca="1">_xlfn.LET(
_xlpm.texto,B163,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3" s="1" t="e" cm="1">
        <f t="array" aca="1" ref="D163" ca="1">_xlfn.LET(
_xlpm.texto,B163,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3" s="1" t="s">
        <v>249</v>
      </c>
      <c r="F163" s="1"/>
      <c r="G163" s="7" t="s">
        <v>279</v>
      </c>
      <c r="H163" s="1"/>
      <c r="I163" s="1"/>
      <c r="J163" s="1"/>
      <c r="K163" s="1"/>
      <c r="L163" s="3"/>
      <c r="M163" s="5">
        <v>0.20685758815507505</v>
      </c>
      <c r="N163" s="6">
        <f>IFERROR(Tabla1[[#This Row],[COSTO NETO]]/(1-Tabla1[[#This Row],[MARGEN]]),Tabla1[[#This Row],[COSTO NETO]])</f>
        <v>0</v>
      </c>
    </row>
    <row r="164" spans="1:14" x14ac:dyDescent="0.25">
      <c r="A164" s="1">
        <v>227002</v>
      </c>
      <c r="B164" t="s">
        <v>117</v>
      </c>
      <c r="C164" s="1" t="e" cm="1">
        <f t="array" aca="1" ref="C164" ca="1">_xlfn.LET(
_xlpm.texto,B164,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4" s="1" t="e" cm="1">
        <f t="array" aca="1" ref="D164" ca="1">_xlfn.LET(
_xlpm.texto,B164,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4" s="1" t="s">
        <v>244</v>
      </c>
      <c r="F164" s="1"/>
      <c r="G164" s="7" t="s">
        <v>279</v>
      </c>
      <c r="H164" s="1"/>
      <c r="I164" s="2" t="s">
        <v>261</v>
      </c>
      <c r="J164" s="1"/>
      <c r="K164" s="1"/>
      <c r="L164" s="3"/>
      <c r="M164" s="5">
        <v>0.17</v>
      </c>
      <c r="N164" s="6">
        <f>IFERROR(Tabla1[[#This Row],[COSTO NETO]]/(1-Tabla1[[#This Row],[MARGEN]]),Tabla1[[#This Row],[COSTO NETO]])</f>
        <v>0</v>
      </c>
    </row>
    <row r="165" spans="1:14" x14ac:dyDescent="0.25">
      <c r="A165" s="1">
        <v>227008</v>
      </c>
      <c r="B165" t="s">
        <v>118</v>
      </c>
      <c r="C165" s="1" t="e" cm="1">
        <f t="array" aca="1" ref="C165" ca="1">_xlfn.LET(
_xlpm.texto,B165,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5" s="1" t="e" cm="1">
        <f t="array" aca="1" ref="D165" ca="1">_xlfn.LET(
_xlpm.texto,B165,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5" s="1" t="s">
        <v>244</v>
      </c>
      <c r="F165" s="1"/>
      <c r="G165" s="7" t="s">
        <v>279</v>
      </c>
      <c r="H165" s="1"/>
      <c r="I165" s="2" t="s">
        <v>261</v>
      </c>
      <c r="J165" s="1"/>
      <c r="K165" s="1"/>
      <c r="L165" s="3"/>
      <c r="M165" s="5">
        <v>0.21235521235521237</v>
      </c>
      <c r="N165" s="6">
        <f>IFERROR(Tabla1[[#This Row],[COSTO NETO]]/(1-Tabla1[[#This Row],[MARGEN]]),Tabla1[[#This Row],[COSTO NETO]])</f>
        <v>0</v>
      </c>
    </row>
    <row r="166" spans="1:14" x14ac:dyDescent="0.25">
      <c r="A166" s="1">
        <v>227010</v>
      </c>
      <c r="B166" t="s">
        <v>119</v>
      </c>
      <c r="C166" s="1" t="e" cm="1">
        <f t="array" aca="1" ref="C166" ca="1">_xlfn.LET(
_xlpm.texto,B166,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6" s="1" t="e" cm="1">
        <f t="array" aca="1" ref="D166" ca="1">_xlfn.LET(
_xlpm.texto,B166,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6" s="1" t="s">
        <v>238</v>
      </c>
      <c r="F166" s="1"/>
      <c r="G166" s="7" t="s">
        <v>279</v>
      </c>
      <c r="H166" s="1"/>
      <c r="I166" s="1"/>
      <c r="J166" s="1"/>
      <c r="K166" s="1"/>
      <c r="L166" s="3"/>
      <c r="M166" s="5">
        <v>0.17</v>
      </c>
      <c r="N166" s="6">
        <f>IFERROR(Tabla1[[#This Row],[COSTO NETO]]/(1-Tabla1[[#This Row],[MARGEN]]),Tabla1[[#This Row],[COSTO NETO]])</f>
        <v>0</v>
      </c>
    </row>
    <row r="167" spans="1:14" x14ac:dyDescent="0.25">
      <c r="A167" s="1">
        <v>227012</v>
      </c>
      <c r="B167" t="s">
        <v>120</v>
      </c>
      <c r="C167" s="1" t="e" cm="1">
        <f t="array" aca="1" ref="C167" ca="1">_xlfn.LET(
_xlpm.texto,B167,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7" s="1" t="e" cm="1">
        <f t="array" aca="1" ref="D167" ca="1">_xlfn.LET(
_xlpm.texto,B167,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7" s="1" t="s">
        <v>249</v>
      </c>
      <c r="F167" s="1"/>
      <c r="G167" s="7" t="s">
        <v>279</v>
      </c>
      <c r="H167" s="1"/>
      <c r="I167" s="1"/>
      <c r="J167" s="1"/>
      <c r="K167" s="1"/>
      <c r="L167" s="3">
        <v>65123.1</v>
      </c>
      <c r="M167" s="5">
        <v>0.17</v>
      </c>
      <c r="N167" s="6">
        <f>IFERROR(Tabla1[[#This Row],[COSTO NETO]]/(1-Tabla1[[#This Row],[MARGEN]]),Tabla1[[#This Row],[COSTO NETO]])</f>
        <v>78461.566265060246</v>
      </c>
    </row>
    <row r="168" spans="1:14" x14ac:dyDescent="0.25">
      <c r="A168" s="1">
        <v>227013</v>
      </c>
      <c r="B168" t="s">
        <v>121</v>
      </c>
      <c r="C168" s="1" t="e" cm="1">
        <f t="array" aca="1" ref="C168" ca="1">_xlfn.LET(
_xlpm.texto,B168,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8" s="1" t="e" cm="1">
        <f t="array" aca="1" ref="D168" ca="1">_xlfn.LET(
_xlpm.texto,B168,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8" s="1" t="s">
        <v>255</v>
      </c>
      <c r="F168" s="1"/>
      <c r="G168" s="7" t="s">
        <v>283</v>
      </c>
      <c r="H168" s="1"/>
      <c r="I168" s="1"/>
      <c r="J168" s="1"/>
      <c r="K168" s="1"/>
      <c r="L168" s="3"/>
      <c r="M168" s="5">
        <v>0</v>
      </c>
      <c r="N168" s="6">
        <f>IFERROR(Tabla1[[#This Row],[COSTO NETO]]/(1-Tabla1[[#This Row],[MARGEN]]),Tabla1[[#This Row],[COSTO NETO]])</f>
        <v>0</v>
      </c>
    </row>
    <row r="169" spans="1:14" x14ac:dyDescent="0.25">
      <c r="A169" s="1">
        <v>227014</v>
      </c>
      <c r="B169" t="s">
        <v>122</v>
      </c>
      <c r="C169" s="1" t="e" cm="1">
        <f t="array" aca="1" ref="C169" ca="1">_xlfn.LET(
_xlpm.texto,B169,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69" s="1" t="e" cm="1">
        <f t="array" aca="1" ref="D169" ca="1">_xlfn.LET(
_xlpm.texto,B169,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69" s="1" t="s">
        <v>249</v>
      </c>
      <c r="F169" s="1"/>
      <c r="G169" s="7" t="s">
        <v>283</v>
      </c>
      <c r="H169" s="1"/>
      <c r="I169" s="1"/>
      <c r="J169" s="1"/>
      <c r="K169" s="1"/>
      <c r="L169" s="3"/>
      <c r="M169" s="5">
        <v>0</v>
      </c>
      <c r="N169" s="6">
        <f>IFERROR(Tabla1[[#This Row],[COSTO NETO]]/(1-Tabla1[[#This Row],[MARGEN]]),Tabla1[[#This Row],[COSTO NETO]])</f>
        <v>0</v>
      </c>
    </row>
    <row r="170" spans="1:14" x14ac:dyDescent="0.25">
      <c r="A170" s="1">
        <v>227015</v>
      </c>
      <c r="B170" t="s">
        <v>259</v>
      </c>
      <c r="C170" s="1" t="e" cm="1">
        <f t="array" aca="1" ref="C170" ca="1">_xlfn.LET(
_xlpm.texto,B170,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0" s="1" t="e" cm="1">
        <f t="array" aca="1" ref="D170" ca="1">_xlfn.LET(
_xlpm.texto,B170,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0" s="1" t="s">
        <v>298</v>
      </c>
      <c r="F170" s="1"/>
      <c r="G170" s="7" t="s">
        <v>279</v>
      </c>
      <c r="H170" s="1"/>
      <c r="I170" s="2" t="s">
        <v>261</v>
      </c>
      <c r="J170" s="1" t="s">
        <v>287</v>
      </c>
      <c r="K170" s="1"/>
      <c r="L170" s="3"/>
      <c r="M170" s="5">
        <v>0</v>
      </c>
      <c r="N170" s="6">
        <f>IFERROR(Tabla1[[#This Row],[COSTO NETO]]/(1-Tabla1[[#This Row],[MARGEN]]),Tabla1[[#This Row],[COSTO NETO]])</f>
        <v>0</v>
      </c>
    </row>
    <row r="171" spans="1:14" x14ac:dyDescent="0.25">
      <c r="A171" s="1">
        <v>228001</v>
      </c>
      <c r="B171" t="s">
        <v>1</v>
      </c>
      <c r="C171" s="1" t="e" cm="1">
        <f t="array" aca="1" ref="C171" ca="1">_xlfn.LET(
_xlpm.texto,B171,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1" s="1" t="e" cm="1">
        <f t="array" aca="1" ref="D171" ca="1">_xlfn.LET(
_xlpm.texto,B171,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1" s="1" t="s">
        <v>256</v>
      </c>
      <c r="F171" s="1" t="s">
        <v>244</v>
      </c>
      <c r="G171" s="7" t="s">
        <v>279</v>
      </c>
      <c r="H171" s="1"/>
      <c r="I171" s="1"/>
      <c r="J171" s="1" t="s">
        <v>289</v>
      </c>
      <c r="K171" s="1" t="s">
        <v>270</v>
      </c>
      <c r="L171" s="3">
        <v>97290</v>
      </c>
      <c r="M171" s="5">
        <v>0.17</v>
      </c>
      <c r="N171" s="6">
        <f>IFERROR(Tabla1[[#This Row],[COSTO NETO]]/(1-Tabla1[[#This Row],[MARGEN]]),Tabla1[[#This Row],[COSTO NETO]])</f>
        <v>117216.86746987952</v>
      </c>
    </row>
    <row r="172" spans="1:14" x14ac:dyDescent="0.25">
      <c r="A172" s="1">
        <v>228020</v>
      </c>
      <c r="B172" t="s">
        <v>208</v>
      </c>
      <c r="C172" s="1" t="e" cm="1">
        <f t="array" aca="1" ref="C172" ca="1">_xlfn.LET(
_xlpm.texto,B172,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2" s="1" t="e" cm="1">
        <f t="array" aca="1" ref="D172" ca="1">_xlfn.LET(
_xlpm.texto,B172,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2" s="1" t="s">
        <v>244</v>
      </c>
      <c r="F172" s="1"/>
      <c r="G172" s="7" t="s">
        <v>279</v>
      </c>
      <c r="H172" s="1"/>
      <c r="I172" s="2" t="s">
        <v>261</v>
      </c>
      <c r="J172" s="1"/>
      <c r="K172" s="1"/>
      <c r="L172" s="3"/>
      <c r="M172" s="5">
        <v>0.12</v>
      </c>
      <c r="N172" s="6">
        <f>IFERROR(Tabla1[[#This Row],[COSTO NETO]]/(1-Tabla1[[#This Row],[MARGEN]]),Tabla1[[#This Row],[COSTO NETO]])</f>
        <v>0</v>
      </c>
    </row>
    <row r="173" spans="1:14" x14ac:dyDescent="0.25">
      <c r="A173" s="1">
        <v>229001</v>
      </c>
      <c r="B173" t="s">
        <v>123</v>
      </c>
      <c r="C173" s="1" t="e" cm="1">
        <f t="array" aca="1" ref="C173" ca="1">_xlfn.LET(
_xlpm.texto,B173,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3" s="1" t="e" cm="1">
        <f t="array" aca="1" ref="D173" ca="1">_xlfn.LET(
_xlpm.texto,B173,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3" s="1" t="s">
        <v>238</v>
      </c>
      <c r="F173" s="1"/>
      <c r="G173" s="7" t="s">
        <v>283</v>
      </c>
      <c r="H173" s="1"/>
      <c r="I173" s="1"/>
      <c r="J173" s="1"/>
      <c r="K173" s="1"/>
      <c r="L173" s="3">
        <v>54268.1</v>
      </c>
      <c r="M173" s="5">
        <v>0.17</v>
      </c>
      <c r="N173" s="6">
        <f>IFERROR(Tabla1[[#This Row],[COSTO NETO]]/(1-Tabla1[[#This Row],[MARGEN]]),Tabla1[[#This Row],[COSTO NETO]])</f>
        <v>65383.253012048197</v>
      </c>
    </row>
    <row r="174" spans="1:14" x14ac:dyDescent="0.25">
      <c r="A174" s="1">
        <v>229002</v>
      </c>
      <c r="B174" t="s">
        <v>213</v>
      </c>
      <c r="C174" s="1" t="e" cm="1">
        <f t="array" aca="1" ref="C174" ca="1">_xlfn.LET(
_xlpm.texto,B174,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4" s="1" t="e" cm="1">
        <f t="array" aca="1" ref="D174" ca="1">_xlfn.LET(
_xlpm.texto,B174,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4" s="1" t="s">
        <v>238</v>
      </c>
      <c r="F174" s="1"/>
      <c r="G174" s="7" t="s">
        <v>283</v>
      </c>
      <c r="H174" s="1"/>
      <c r="I174" s="1"/>
      <c r="J174" s="1"/>
      <c r="K174" s="1"/>
      <c r="L174" s="3"/>
      <c r="M174" s="5">
        <v>0.20526400727144845</v>
      </c>
      <c r="N174" s="6">
        <f>IFERROR(Tabla1[[#This Row],[COSTO NETO]]/(1-Tabla1[[#This Row],[MARGEN]]),Tabla1[[#This Row],[COSTO NETO]])</f>
        <v>0</v>
      </c>
    </row>
    <row r="175" spans="1:14" x14ac:dyDescent="0.25">
      <c r="A175" s="1">
        <v>229003</v>
      </c>
      <c r="B175" t="s">
        <v>124</v>
      </c>
      <c r="C175" s="1" t="e" cm="1">
        <f t="array" aca="1" ref="C175" ca="1">_xlfn.LET(
_xlpm.texto,B175,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5" s="1" t="e" cm="1">
        <f t="array" aca="1" ref="D175" ca="1">_xlfn.LET(
_xlpm.texto,B175,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5" s="1" t="s">
        <v>238</v>
      </c>
      <c r="F175" s="1"/>
      <c r="G175" s="7" t="s">
        <v>279</v>
      </c>
      <c r="H175" s="1"/>
      <c r="I175" s="1"/>
      <c r="J175" s="1"/>
      <c r="K175" s="1"/>
      <c r="L175" s="3"/>
      <c r="M175" s="5">
        <v>0.20549954704183815</v>
      </c>
      <c r="N175" s="6">
        <f>IFERROR(Tabla1[[#This Row],[COSTO NETO]]/(1-Tabla1[[#This Row],[MARGEN]]),Tabla1[[#This Row],[COSTO NETO]])</f>
        <v>0</v>
      </c>
    </row>
    <row r="176" spans="1:14" x14ac:dyDescent="0.25">
      <c r="A176" s="1">
        <v>229004</v>
      </c>
      <c r="B176" t="s">
        <v>125</v>
      </c>
      <c r="C176" s="1" t="e" cm="1">
        <f t="array" aca="1" ref="C176" ca="1">_xlfn.LET(
_xlpm.texto,B176,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6" s="1" t="e" cm="1">
        <f t="array" aca="1" ref="D176" ca="1">_xlfn.LET(
_xlpm.texto,B176,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6" s="1" t="s">
        <v>238</v>
      </c>
      <c r="F176" s="1"/>
      <c r="G176" s="7" t="s">
        <v>279</v>
      </c>
      <c r="H176" s="1"/>
      <c r="I176" s="1"/>
      <c r="J176" s="1"/>
      <c r="K176" s="1"/>
      <c r="L176" s="3"/>
      <c r="M176" s="5">
        <v>0.20467241131378389</v>
      </c>
      <c r="N176" s="6">
        <f>IFERROR(Tabla1[[#This Row],[COSTO NETO]]/(1-Tabla1[[#This Row],[MARGEN]]),Tabla1[[#This Row],[COSTO NETO]])</f>
        <v>0</v>
      </c>
    </row>
    <row r="177" spans="1:14" x14ac:dyDescent="0.25">
      <c r="A177" s="1">
        <v>231001</v>
      </c>
      <c r="B177" t="s">
        <v>126</v>
      </c>
      <c r="C177" s="1" t="e" cm="1">
        <f t="array" aca="1" ref="C177" ca="1">_xlfn.LET(
_xlpm.texto,B177,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7" s="1" t="e" cm="1">
        <f t="array" aca="1" ref="D177" ca="1">_xlfn.LET(
_xlpm.texto,B177,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7" s="1" t="s">
        <v>238</v>
      </c>
      <c r="F177" s="1"/>
      <c r="G177" s="7" t="s">
        <v>283</v>
      </c>
      <c r="H177" s="1"/>
      <c r="I177" s="1"/>
      <c r="J177" s="1"/>
      <c r="K177" s="1"/>
      <c r="L177" s="3"/>
      <c r="M177" s="5">
        <v>0.20615775566010808</v>
      </c>
      <c r="N177" s="6">
        <f>IFERROR(Tabla1[[#This Row],[COSTO NETO]]/(1-Tabla1[[#This Row],[MARGEN]]),Tabla1[[#This Row],[COSTO NETO]])</f>
        <v>0</v>
      </c>
    </row>
    <row r="178" spans="1:14" x14ac:dyDescent="0.25">
      <c r="A178" s="1">
        <v>231002</v>
      </c>
      <c r="B178" t="s">
        <v>127</v>
      </c>
      <c r="C178" s="1" t="e" cm="1">
        <f t="array" aca="1" ref="C178" ca="1">_xlfn.LET(
_xlpm.texto,B178,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8" s="1" t="e" cm="1">
        <f t="array" aca="1" ref="D178" ca="1">_xlfn.LET(
_xlpm.texto,B178,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8" s="1" t="s">
        <v>238</v>
      </c>
      <c r="F178" s="1"/>
      <c r="G178" s="7" t="s">
        <v>283</v>
      </c>
      <c r="H178" s="1"/>
      <c r="I178" s="1"/>
      <c r="J178" s="1"/>
      <c r="K178" s="1"/>
      <c r="L178" s="3"/>
      <c r="M178" s="5">
        <v>0.17</v>
      </c>
      <c r="N178" s="6">
        <f>IFERROR(Tabla1[[#This Row],[COSTO NETO]]/(1-Tabla1[[#This Row],[MARGEN]]),Tabla1[[#This Row],[COSTO NETO]])</f>
        <v>0</v>
      </c>
    </row>
    <row r="179" spans="1:14" x14ac:dyDescent="0.25">
      <c r="A179" s="1">
        <v>231003</v>
      </c>
      <c r="B179" t="s">
        <v>215</v>
      </c>
      <c r="C179" s="1" t="e" cm="1">
        <f t="array" aca="1" ref="C179" ca="1">_xlfn.LET(
_xlpm.texto,B179,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79" s="1" t="e" cm="1">
        <f t="array" aca="1" ref="D179" ca="1">_xlfn.LET(
_xlpm.texto,B179,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79" s="1" t="s">
        <v>239</v>
      </c>
      <c r="F179" s="1"/>
      <c r="G179" s="7" t="s">
        <v>283</v>
      </c>
      <c r="H179" s="1"/>
      <c r="I179" s="1"/>
      <c r="J179" s="1"/>
      <c r="K179" s="1"/>
      <c r="L179" s="3"/>
      <c r="M179" s="5">
        <v>0.20788162633179708</v>
      </c>
      <c r="N179" s="6">
        <f>IFERROR(Tabla1[[#This Row],[COSTO NETO]]/(1-Tabla1[[#This Row],[MARGEN]]),Tabla1[[#This Row],[COSTO NETO]])</f>
        <v>0</v>
      </c>
    </row>
    <row r="180" spans="1:14" x14ac:dyDescent="0.25">
      <c r="A180" s="1">
        <v>231004</v>
      </c>
      <c r="B180" t="s">
        <v>128</v>
      </c>
      <c r="C180" s="1" t="e" cm="1">
        <f t="array" aca="1" ref="C180" ca="1">_xlfn.LET(
_xlpm.texto,B180,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0" s="1" t="e" cm="1">
        <f t="array" aca="1" ref="D180" ca="1">_xlfn.LET(
_xlpm.texto,B180,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0" s="1" t="s">
        <v>244</v>
      </c>
      <c r="F180" s="1"/>
      <c r="G180" s="7" t="s">
        <v>279</v>
      </c>
      <c r="H180" s="1"/>
      <c r="I180" s="2" t="s">
        <v>261</v>
      </c>
      <c r="J180" s="1"/>
      <c r="K180" s="1"/>
      <c r="L180" s="3">
        <v>55147</v>
      </c>
      <c r="M180" s="5">
        <v>0.20529920963492665</v>
      </c>
      <c r="N180" s="6">
        <f>IFERROR(Tabla1[[#This Row],[COSTO NETO]]/(1-Tabla1[[#This Row],[MARGEN]]),Tabla1[[#This Row],[COSTO NETO]])</f>
        <v>69393.412802152001</v>
      </c>
    </row>
    <row r="181" spans="1:14" x14ac:dyDescent="0.25">
      <c r="A181" s="1">
        <v>231005</v>
      </c>
      <c r="B181" t="s">
        <v>216</v>
      </c>
      <c r="C181" s="1" t="e" cm="1">
        <f t="array" aca="1" ref="C181" ca="1">_xlfn.LET(
_xlpm.texto,B181,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1" s="1" t="e" cm="1">
        <f t="array" aca="1" ref="D181" ca="1">_xlfn.LET(
_xlpm.texto,B181,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1" s="1" t="s">
        <v>238</v>
      </c>
      <c r="F181" s="1"/>
      <c r="G181" s="7" t="s">
        <v>279</v>
      </c>
      <c r="H181" s="1"/>
      <c r="I181" s="1"/>
      <c r="J181" s="1"/>
      <c r="K181" s="1"/>
      <c r="L181" s="3"/>
      <c r="M181" s="5">
        <v>0.20573850668405613</v>
      </c>
      <c r="N181" s="6">
        <f>IFERROR(Tabla1[[#This Row],[COSTO NETO]]/(1-Tabla1[[#This Row],[MARGEN]]),Tabla1[[#This Row],[COSTO NETO]])</f>
        <v>0</v>
      </c>
    </row>
    <row r="182" spans="1:14" x14ac:dyDescent="0.25">
      <c r="A182" s="1">
        <v>231006</v>
      </c>
      <c r="B182" t="s">
        <v>129</v>
      </c>
      <c r="C182" s="1" t="e" cm="1">
        <f t="array" aca="1" ref="C182" ca="1">_xlfn.LET(
_xlpm.texto,B182,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2" s="1" t="e" cm="1">
        <f t="array" aca="1" ref="D182" ca="1">_xlfn.LET(
_xlpm.texto,B182,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2" s="1" t="s">
        <v>238</v>
      </c>
      <c r="F182" s="1"/>
      <c r="G182" s="7" t="s">
        <v>279</v>
      </c>
      <c r="H182" s="1"/>
      <c r="I182" s="1"/>
      <c r="J182" s="1"/>
      <c r="K182" s="1"/>
      <c r="L182" s="3"/>
      <c r="M182" s="5">
        <v>0.20561710654927001</v>
      </c>
      <c r="N182" s="6">
        <f>IFERROR(Tabla1[[#This Row],[COSTO NETO]]/(1-Tabla1[[#This Row],[MARGEN]]),Tabla1[[#This Row],[COSTO NETO]])</f>
        <v>0</v>
      </c>
    </row>
    <row r="183" spans="1:14" x14ac:dyDescent="0.25">
      <c r="A183" s="1">
        <v>231007</v>
      </c>
      <c r="B183" t="s">
        <v>201</v>
      </c>
      <c r="C183" s="1" t="e" cm="1">
        <f t="array" aca="1" ref="C183" ca="1">_xlfn.LET(
_xlpm.texto,B183,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3" s="1" t="e" cm="1">
        <f t="array" aca="1" ref="D183" ca="1">_xlfn.LET(
_xlpm.texto,B183,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3" s="1" t="s">
        <v>238</v>
      </c>
      <c r="F183" s="1"/>
      <c r="G183" s="7" t="s">
        <v>279</v>
      </c>
      <c r="H183" s="1"/>
      <c r="I183" s="1"/>
      <c r="J183" s="1"/>
      <c r="K183" s="1"/>
      <c r="L183" s="3"/>
      <c r="M183" s="5">
        <v>0.20477644344935209</v>
      </c>
      <c r="N183" s="6">
        <f>IFERROR(Tabla1[[#This Row],[COSTO NETO]]/(1-Tabla1[[#This Row],[MARGEN]]),Tabla1[[#This Row],[COSTO NETO]])</f>
        <v>0</v>
      </c>
    </row>
    <row r="184" spans="1:14" x14ac:dyDescent="0.25">
      <c r="A184" s="1">
        <v>231008</v>
      </c>
      <c r="B184" t="s">
        <v>130</v>
      </c>
      <c r="C184" s="1" t="e" cm="1">
        <f t="array" aca="1" ref="C184" ca="1">_xlfn.LET(
_xlpm.texto,B184,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4" s="1" t="e" cm="1">
        <f t="array" aca="1" ref="D184" ca="1">_xlfn.LET(
_xlpm.texto,B184,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4" s="1" t="s">
        <v>238</v>
      </c>
      <c r="F184" s="1"/>
      <c r="G184" s="7" t="s">
        <v>279</v>
      </c>
      <c r="H184" s="1"/>
      <c r="I184" s="1"/>
      <c r="J184" s="1"/>
      <c r="K184" s="1"/>
      <c r="L184" s="3"/>
      <c r="M184" s="5">
        <v>0.20337439486171693</v>
      </c>
      <c r="N184" s="6">
        <f>IFERROR(Tabla1[[#This Row],[COSTO NETO]]/(1-Tabla1[[#This Row],[MARGEN]]),Tabla1[[#This Row],[COSTO NETO]])</f>
        <v>0</v>
      </c>
    </row>
    <row r="185" spans="1:14" x14ac:dyDescent="0.25">
      <c r="A185" s="1">
        <v>231009</v>
      </c>
      <c r="B185" t="s">
        <v>212</v>
      </c>
      <c r="C185" s="1" t="e" cm="1">
        <f t="array" aca="1" ref="C185" ca="1">_xlfn.LET(
_xlpm.texto,B185,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5" s="1" t="e" cm="1">
        <f t="array" aca="1" ref="D185" ca="1">_xlfn.LET(
_xlpm.texto,B185,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5" s="1" t="s">
        <v>238</v>
      </c>
      <c r="F185" s="1"/>
      <c r="G185" s="7" t="s">
        <v>279</v>
      </c>
      <c r="H185" s="1"/>
      <c r="I185" s="1"/>
      <c r="J185" s="1"/>
      <c r="K185" s="1"/>
      <c r="L185" s="3"/>
      <c r="M185" s="5">
        <v>0.20308084150044814</v>
      </c>
      <c r="N185" s="6">
        <f>IFERROR(Tabla1[[#This Row],[COSTO NETO]]/(1-Tabla1[[#This Row],[MARGEN]]),Tabla1[[#This Row],[COSTO NETO]])</f>
        <v>0</v>
      </c>
    </row>
    <row r="186" spans="1:14" x14ac:dyDescent="0.25">
      <c r="A186" s="1">
        <v>231010</v>
      </c>
      <c r="B186" t="s">
        <v>131</v>
      </c>
      <c r="C186" s="1" t="e" cm="1">
        <f t="array" aca="1" ref="C186" ca="1">_xlfn.LET(
_xlpm.texto,B186,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6" s="1" t="e" cm="1">
        <f t="array" aca="1" ref="D186" ca="1">_xlfn.LET(
_xlpm.texto,B186,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6" s="1" t="s">
        <v>244</v>
      </c>
      <c r="F186" s="1"/>
      <c r="G186" s="7" t="s">
        <v>283</v>
      </c>
      <c r="H186" s="1"/>
      <c r="I186" s="2" t="s">
        <v>261</v>
      </c>
      <c r="J186" s="1"/>
      <c r="K186" s="1"/>
      <c r="L186" s="3">
        <v>51952.33</v>
      </c>
      <c r="M186" s="5">
        <v>0.21068609593199761</v>
      </c>
      <c r="N186" s="6">
        <f>IFERROR(Tabla1[[#This Row],[COSTO NETO]]/(1-Tabla1[[#This Row],[MARGEN]]),Tabla1[[#This Row],[COSTO NETO]])</f>
        <v>65819.605776923083</v>
      </c>
    </row>
    <row r="187" spans="1:14" x14ac:dyDescent="0.25">
      <c r="A187" s="1">
        <v>231012</v>
      </c>
      <c r="B187" t="s">
        <v>132</v>
      </c>
      <c r="C187" s="1" t="e" cm="1">
        <f t="array" aca="1" ref="C187" ca="1">_xlfn.LET(
_xlpm.texto,B187,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7" s="1" t="e" cm="1">
        <f t="array" aca="1" ref="D187" ca="1">_xlfn.LET(
_xlpm.texto,B187,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7" s="1" t="s">
        <v>248</v>
      </c>
      <c r="F187" s="1"/>
      <c r="G187" s="7" t="s">
        <v>283</v>
      </c>
      <c r="H187" s="1"/>
      <c r="I187" s="1"/>
      <c r="J187" s="1"/>
      <c r="K187" s="1"/>
      <c r="L187" s="3"/>
      <c r="M187" s="5">
        <v>0.21395840676771238</v>
      </c>
      <c r="N187" s="6">
        <f>IFERROR(Tabla1[[#This Row],[COSTO NETO]]/(1-Tabla1[[#This Row],[MARGEN]]),Tabla1[[#This Row],[COSTO NETO]])</f>
        <v>0</v>
      </c>
    </row>
    <row r="188" spans="1:14" x14ac:dyDescent="0.25">
      <c r="A188" s="1">
        <v>232001</v>
      </c>
      <c r="B188" t="s">
        <v>285</v>
      </c>
      <c r="C188" s="1" t="e" cm="1">
        <f t="array" aca="1" ref="C188" ca="1">_xlfn.LET(
_xlpm.texto,B188,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8" s="1" t="e" cm="1">
        <f t="array" aca="1" ref="D188" ca="1">_xlfn.LET(
_xlpm.texto,B188,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8" s="1" t="s">
        <v>240</v>
      </c>
      <c r="F188" s="1"/>
      <c r="G188" s="7" t="s">
        <v>279</v>
      </c>
      <c r="H188" s="1"/>
      <c r="I188" s="2" t="s">
        <v>261</v>
      </c>
      <c r="J188" s="1" t="s">
        <v>266</v>
      </c>
      <c r="K188" s="1"/>
      <c r="L188" s="3"/>
      <c r="M188" s="5">
        <v>0.21268925739005051</v>
      </c>
      <c r="N188" s="6">
        <f>IFERROR(Tabla1[[#This Row],[COSTO NETO]]/(1-Tabla1[[#This Row],[MARGEN]]),Tabla1[[#This Row],[COSTO NETO]])</f>
        <v>0</v>
      </c>
    </row>
    <row r="189" spans="1:14" x14ac:dyDescent="0.25">
      <c r="A189" s="1">
        <v>233001</v>
      </c>
      <c r="B189" t="s">
        <v>219</v>
      </c>
      <c r="C189" s="1" t="e" cm="1">
        <f t="array" aca="1" ref="C189" ca="1">_xlfn.LET(
_xlpm.texto,B189,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89" s="1" t="e" cm="1">
        <f t="array" aca="1" ref="D189" ca="1">_xlfn.LET(
_xlpm.texto,B189,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89" s="1" t="s">
        <v>238</v>
      </c>
      <c r="F189" s="1"/>
      <c r="G189" s="7" t="s">
        <v>279</v>
      </c>
      <c r="H189" s="1"/>
      <c r="I189" s="1"/>
      <c r="J189" s="1"/>
      <c r="K189" s="1"/>
      <c r="L189" s="3"/>
      <c r="M189" s="5">
        <v>0.20204522301337235</v>
      </c>
      <c r="N189" s="6">
        <f>IFERROR(Tabla1[[#This Row],[COSTO NETO]]/(1-Tabla1[[#This Row],[MARGEN]]),Tabla1[[#This Row],[COSTO NETO]])</f>
        <v>0</v>
      </c>
    </row>
    <row r="190" spans="1:14" x14ac:dyDescent="0.25">
      <c r="A190" s="1">
        <v>233002</v>
      </c>
      <c r="B190" t="s">
        <v>218</v>
      </c>
      <c r="C190" s="1" t="e" cm="1">
        <f t="array" aca="1" ref="C190" ca="1">_xlfn.LET(
_xlpm.texto,B190,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0" s="1" t="e" cm="1">
        <f t="array" aca="1" ref="D190" ca="1">_xlfn.LET(
_xlpm.texto,B190,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0" s="1" t="s">
        <v>238</v>
      </c>
      <c r="F190" s="1"/>
      <c r="G190" s="7" t="s">
        <v>283</v>
      </c>
      <c r="H190" s="1"/>
      <c r="I190" s="1"/>
      <c r="J190" s="1"/>
      <c r="K190" s="1"/>
      <c r="L190" s="3"/>
      <c r="M190" s="5">
        <v>0.20259738785426018</v>
      </c>
      <c r="N190" s="6">
        <f>IFERROR(Tabla1[[#This Row],[COSTO NETO]]/(1-Tabla1[[#This Row],[MARGEN]]),Tabla1[[#This Row],[COSTO NETO]])</f>
        <v>0</v>
      </c>
    </row>
    <row r="191" spans="1:14" x14ac:dyDescent="0.25">
      <c r="A191" s="1">
        <v>233003</v>
      </c>
      <c r="B191" t="s">
        <v>217</v>
      </c>
      <c r="C191" s="1" t="e" cm="1">
        <f t="array" aca="1" ref="C191" ca="1">_xlfn.LET(
_xlpm.texto,B191,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1" s="1" t="e" cm="1">
        <f t="array" aca="1" ref="D191" ca="1">_xlfn.LET(
_xlpm.texto,B191,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1" s="1" t="s">
        <v>238</v>
      </c>
      <c r="F191" s="1"/>
      <c r="G191" s="7" t="s">
        <v>279</v>
      </c>
      <c r="H191" s="1"/>
      <c r="I191" s="1"/>
      <c r="J191" s="1"/>
      <c r="K191" s="1"/>
      <c r="L191" s="3"/>
      <c r="M191" s="5">
        <v>0.20282300104258566</v>
      </c>
      <c r="N191" s="6">
        <f>IFERROR(Tabla1[[#This Row],[COSTO NETO]]/(1-Tabla1[[#This Row],[MARGEN]]),Tabla1[[#This Row],[COSTO NETO]])</f>
        <v>0</v>
      </c>
    </row>
    <row r="192" spans="1:14" x14ac:dyDescent="0.25">
      <c r="A192" s="1">
        <v>233004</v>
      </c>
      <c r="B192" t="s">
        <v>220</v>
      </c>
      <c r="C192" s="1" t="e" cm="1">
        <f t="array" aca="1" ref="C192" ca="1">_xlfn.LET(
_xlpm.texto,B192,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2" s="1" t="e" cm="1">
        <f t="array" aca="1" ref="D192" ca="1">_xlfn.LET(
_xlpm.texto,B192,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2" s="1" t="s">
        <v>238</v>
      </c>
      <c r="F192" s="1"/>
      <c r="G192" s="7" t="s">
        <v>283</v>
      </c>
      <c r="H192" s="1"/>
      <c r="I192" s="1"/>
      <c r="J192" s="1"/>
      <c r="K192" s="1"/>
      <c r="L192" s="3"/>
      <c r="M192" s="5">
        <v>0.20257567740991322</v>
      </c>
      <c r="N192" s="6">
        <f>IFERROR(Tabla1[[#This Row],[COSTO NETO]]/(1-Tabla1[[#This Row],[MARGEN]]),Tabla1[[#This Row],[COSTO NETO]])</f>
        <v>0</v>
      </c>
    </row>
    <row r="193" spans="1:14" x14ac:dyDescent="0.25">
      <c r="A193" s="1">
        <v>234001</v>
      </c>
      <c r="B193" t="s">
        <v>133</v>
      </c>
      <c r="C193" s="1" t="e" cm="1">
        <f t="array" aca="1" ref="C193" ca="1">_xlfn.LET(
_xlpm.texto,B193,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3" s="1" t="e" cm="1">
        <f t="array" aca="1" ref="D193" ca="1">_xlfn.LET(
_xlpm.texto,B193,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3" s="1" t="s">
        <v>257</v>
      </c>
      <c r="F193" s="1"/>
      <c r="G193" s="7" t="s">
        <v>279</v>
      </c>
      <c r="H193" s="1"/>
      <c r="I193" s="2" t="s">
        <v>261</v>
      </c>
      <c r="J193" s="1"/>
      <c r="K193" s="1"/>
      <c r="L193" s="3">
        <v>35750.949999999997</v>
      </c>
      <c r="M193" s="5">
        <v>0.24350005149153819</v>
      </c>
      <c r="N193" s="6">
        <f>IFERROR(Tabla1[[#This Row],[COSTO NETO]]/(1-Tabla1[[#This Row],[MARGEN]]),Tabla1[[#This Row],[COSTO NETO]])</f>
        <v>47258.364089102259</v>
      </c>
    </row>
    <row r="194" spans="1:14" x14ac:dyDescent="0.25">
      <c r="A194" s="1">
        <v>234011</v>
      </c>
      <c r="B194" t="s">
        <v>134</v>
      </c>
      <c r="C194" s="1" t="e" cm="1">
        <f t="array" aca="1" ref="C194" ca="1">_xlfn.LET(
_xlpm.texto,B194,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4" s="1" t="e" cm="1">
        <f t="array" aca="1" ref="D194" ca="1">_xlfn.LET(
_xlpm.texto,B194,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4" s="1" t="s">
        <v>257</v>
      </c>
      <c r="F194" s="1"/>
      <c r="G194" s="7" t="s">
        <v>283</v>
      </c>
      <c r="H194" s="1"/>
      <c r="I194" s="2" t="s">
        <v>261</v>
      </c>
      <c r="J194" s="1"/>
      <c r="K194" s="1"/>
      <c r="L194" s="3"/>
      <c r="M194" s="5">
        <v>0</v>
      </c>
      <c r="N194" s="6">
        <f>IFERROR(Tabla1[[#This Row],[COSTO NETO]]/(1-Tabla1[[#This Row],[MARGEN]]),Tabla1[[#This Row],[COSTO NETO]])</f>
        <v>0</v>
      </c>
    </row>
    <row r="195" spans="1:14" x14ac:dyDescent="0.25">
      <c r="A195" s="1">
        <v>235001</v>
      </c>
      <c r="B195" t="s">
        <v>222</v>
      </c>
      <c r="C195" s="1" t="e" cm="1">
        <f t="array" aca="1" ref="C195" ca="1">_xlfn.LET(
_xlpm.texto,B195,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5" s="1" t="e" cm="1">
        <f t="array" aca="1" ref="D195" ca="1">_xlfn.LET(
_xlpm.texto,B195,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5" s="1" t="s">
        <v>238</v>
      </c>
      <c r="F195" s="1"/>
      <c r="G195" s="7" t="s">
        <v>279</v>
      </c>
      <c r="H195" s="1"/>
      <c r="I195" s="1"/>
      <c r="J195" s="1"/>
      <c r="K195" s="1"/>
      <c r="L195" s="3"/>
      <c r="M195" s="5">
        <v>0.20359771054783316</v>
      </c>
      <c r="N195" s="6">
        <f>IFERROR(Tabla1[[#This Row],[COSTO NETO]]/(1-Tabla1[[#This Row],[MARGEN]]),Tabla1[[#This Row],[COSTO NETO]])</f>
        <v>0</v>
      </c>
    </row>
    <row r="196" spans="1:14" x14ac:dyDescent="0.25">
      <c r="A196" s="1">
        <v>235002</v>
      </c>
      <c r="B196" t="s">
        <v>225</v>
      </c>
      <c r="C196" s="1" t="e" cm="1">
        <f t="array" aca="1" ref="C196" ca="1">_xlfn.LET(
_xlpm.texto,B196,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6" s="1" t="e" cm="1">
        <f t="array" aca="1" ref="D196" ca="1">_xlfn.LET(
_xlpm.texto,B196,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6" s="1" t="s">
        <v>238</v>
      </c>
      <c r="F196" s="1"/>
      <c r="G196" s="7" t="s">
        <v>279</v>
      </c>
      <c r="H196" s="1"/>
      <c r="I196" s="1"/>
      <c r="J196" s="1"/>
      <c r="K196" s="1"/>
      <c r="L196" s="3"/>
      <c r="M196" s="5">
        <v>0.2063169396130049</v>
      </c>
      <c r="N196" s="6">
        <f>IFERROR(Tabla1[[#This Row],[COSTO NETO]]/(1-Tabla1[[#This Row],[MARGEN]]),Tabla1[[#This Row],[COSTO NETO]])</f>
        <v>0</v>
      </c>
    </row>
    <row r="197" spans="1:14" x14ac:dyDescent="0.25">
      <c r="A197" s="1">
        <v>235003</v>
      </c>
      <c r="B197" t="s">
        <v>224</v>
      </c>
      <c r="C197" s="1" t="e" cm="1">
        <f t="array" aca="1" ref="C197" ca="1">_xlfn.LET(
_xlpm.texto,B197,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7" s="1" t="e" cm="1">
        <f t="array" aca="1" ref="D197" ca="1">_xlfn.LET(
_xlpm.texto,B197,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7" s="1" t="s">
        <v>238</v>
      </c>
      <c r="F197" s="1"/>
      <c r="G197" s="7" t="s">
        <v>279</v>
      </c>
      <c r="H197" s="1"/>
      <c r="I197" s="1"/>
      <c r="J197" s="1"/>
      <c r="K197" s="1"/>
      <c r="L197" s="3"/>
      <c r="M197" s="5">
        <v>0.20581850239682631</v>
      </c>
      <c r="N197" s="6">
        <f>IFERROR(Tabla1[[#This Row],[COSTO NETO]]/(1-Tabla1[[#This Row],[MARGEN]]),Tabla1[[#This Row],[COSTO NETO]])</f>
        <v>0</v>
      </c>
    </row>
    <row r="198" spans="1:14" x14ac:dyDescent="0.25">
      <c r="A198" s="1">
        <v>235004</v>
      </c>
      <c r="B198" t="s">
        <v>135</v>
      </c>
      <c r="C198" s="1" t="e" cm="1">
        <f t="array" aca="1" ref="C198" ca="1">_xlfn.LET(
_xlpm.texto,B198,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8" s="1" t="e" cm="1">
        <f t="array" aca="1" ref="D198" ca="1">_xlfn.LET(
_xlpm.texto,B198,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8" s="1" t="s">
        <v>238</v>
      </c>
      <c r="F198" s="1"/>
      <c r="G198" s="7" t="s">
        <v>279</v>
      </c>
      <c r="H198" s="1"/>
      <c r="I198" s="1"/>
      <c r="J198" s="1"/>
      <c r="K198" s="1"/>
      <c r="L198" s="3"/>
      <c r="M198" s="5">
        <v>0.20529705873341897</v>
      </c>
      <c r="N198" s="6">
        <f>IFERROR(Tabla1[[#This Row],[COSTO NETO]]/(1-Tabla1[[#This Row],[MARGEN]]),Tabla1[[#This Row],[COSTO NETO]])</f>
        <v>0</v>
      </c>
    </row>
    <row r="199" spans="1:14" x14ac:dyDescent="0.25">
      <c r="A199" s="1">
        <v>235005</v>
      </c>
      <c r="B199" t="s">
        <v>136</v>
      </c>
      <c r="C199" s="1" t="e" cm="1">
        <f t="array" aca="1" ref="C199" ca="1">_xlfn.LET(
_xlpm.texto,B199,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199" s="1" t="e" cm="1">
        <f t="array" aca="1" ref="D199" ca="1">_xlfn.LET(
_xlpm.texto,B199,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199" s="1" t="s">
        <v>238</v>
      </c>
      <c r="F199" s="1"/>
      <c r="G199" s="7" t="s">
        <v>279</v>
      </c>
      <c r="H199" s="1"/>
      <c r="I199" s="1"/>
      <c r="J199" s="1"/>
      <c r="K199" s="1"/>
      <c r="L199" s="3"/>
      <c r="M199" s="5">
        <v>0.20429268292682923</v>
      </c>
      <c r="N199" s="6">
        <f>IFERROR(Tabla1[[#This Row],[COSTO NETO]]/(1-Tabla1[[#This Row],[MARGEN]]),Tabla1[[#This Row],[COSTO NETO]])</f>
        <v>0</v>
      </c>
    </row>
    <row r="200" spans="1:14" x14ac:dyDescent="0.25">
      <c r="A200" s="1">
        <v>235006</v>
      </c>
      <c r="B200" t="s">
        <v>223</v>
      </c>
      <c r="C200" s="1" t="e" cm="1">
        <f t="array" aca="1" ref="C200" ca="1">_xlfn.LET(
_xlpm.texto,B200,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0" s="1" t="e" cm="1">
        <f t="array" aca="1" ref="D200" ca="1">_xlfn.LET(
_xlpm.texto,B200,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0" s="1" t="s">
        <v>238</v>
      </c>
      <c r="F200" s="1"/>
      <c r="G200" s="7" t="s">
        <v>279</v>
      </c>
      <c r="H200" s="1"/>
      <c r="I200" s="1"/>
      <c r="J200" s="1"/>
      <c r="K200" s="1"/>
      <c r="L200" s="3"/>
      <c r="M200" s="5">
        <v>0.20532378815759622</v>
      </c>
      <c r="N200" s="6">
        <f>IFERROR(Tabla1[[#This Row],[COSTO NETO]]/(1-Tabla1[[#This Row],[MARGEN]]),Tabla1[[#This Row],[COSTO NETO]])</f>
        <v>0</v>
      </c>
    </row>
    <row r="201" spans="1:14" x14ac:dyDescent="0.25">
      <c r="A201" s="1">
        <v>235007</v>
      </c>
      <c r="B201" t="s">
        <v>221</v>
      </c>
      <c r="C201" s="1" t="e" cm="1">
        <f t="array" aca="1" ref="C201" ca="1">_xlfn.LET(
_xlpm.texto,B201,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1" s="1" t="e" cm="1">
        <f t="array" aca="1" ref="D201" ca="1">_xlfn.LET(
_xlpm.texto,B201,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1" s="1" t="s">
        <v>238</v>
      </c>
      <c r="F201" s="1"/>
      <c r="G201" s="7" t="s">
        <v>279</v>
      </c>
      <c r="H201" s="1"/>
      <c r="I201" s="1"/>
      <c r="J201" s="1"/>
      <c r="K201" s="1"/>
      <c r="L201" s="3"/>
      <c r="M201" s="5">
        <v>0.20739444016525455</v>
      </c>
      <c r="N201" s="6">
        <f>IFERROR(Tabla1[[#This Row],[COSTO NETO]]/(1-Tabla1[[#This Row],[MARGEN]]),Tabla1[[#This Row],[COSTO NETO]])</f>
        <v>0</v>
      </c>
    </row>
    <row r="202" spans="1:14" x14ac:dyDescent="0.25">
      <c r="A202" s="1">
        <v>235008</v>
      </c>
      <c r="B202" t="s">
        <v>137</v>
      </c>
      <c r="C202" s="1" t="e" cm="1">
        <f t="array" aca="1" ref="C202" ca="1">_xlfn.LET(
_xlpm.texto,B202,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2" s="1" t="e" cm="1">
        <f t="array" aca="1" ref="D202" ca="1">_xlfn.LET(
_xlpm.texto,B202,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2" s="1" t="s">
        <v>238</v>
      </c>
      <c r="F202" s="1"/>
      <c r="G202" s="7" t="s">
        <v>279</v>
      </c>
      <c r="H202" s="1"/>
      <c r="I202" s="1"/>
      <c r="J202" s="1"/>
      <c r="K202" s="1"/>
      <c r="L202" s="3"/>
      <c r="M202" s="5">
        <v>0.20438479025878986</v>
      </c>
      <c r="N202" s="6">
        <f>IFERROR(Tabla1[[#This Row],[COSTO NETO]]/(1-Tabla1[[#This Row],[MARGEN]]),Tabla1[[#This Row],[COSTO NETO]])</f>
        <v>0</v>
      </c>
    </row>
    <row r="203" spans="1:14" x14ac:dyDescent="0.25">
      <c r="A203" s="1">
        <v>236001</v>
      </c>
      <c r="B203" t="s">
        <v>138</v>
      </c>
      <c r="C203" s="1" t="e" cm="1">
        <f t="array" aca="1" ref="C203" ca="1">_xlfn.LET(
_xlpm.texto,B203,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3" s="1" t="e" cm="1">
        <f t="array" aca="1" ref="D203" ca="1">_xlfn.LET(
_xlpm.texto,B203,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3" s="1" t="s">
        <v>237</v>
      </c>
      <c r="F203" s="1"/>
      <c r="G203" s="7" t="s">
        <v>279</v>
      </c>
      <c r="H203" s="1"/>
      <c r="I203" s="1"/>
      <c r="J203" s="1"/>
      <c r="K203" s="1"/>
      <c r="L203" s="3"/>
      <c r="M203" s="5">
        <v>0</v>
      </c>
      <c r="N203" s="6">
        <f>IFERROR(Tabla1[[#This Row],[COSTO NETO]]/(1-Tabla1[[#This Row],[MARGEN]]),Tabla1[[#This Row],[COSTO NETO]])</f>
        <v>0</v>
      </c>
    </row>
    <row r="204" spans="1:14" x14ac:dyDescent="0.25">
      <c r="A204" s="1">
        <v>236002</v>
      </c>
      <c r="B204" t="s">
        <v>139</v>
      </c>
      <c r="C204" s="1" t="e" cm="1">
        <f t="array" aca="1" ref="C204" ca="1">_xlfn.LET(
_xlpm.texto,B204,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4" s="1" t="e" cm="1">
        <f t="array" aca="1" ref="D204" ca="1">_xlfn.LET(
_xlpm.texto,B204,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4" s="1" t="s">
        <v>237</v>
      </c>
      <c r="F204" s="1"/>
      <c r="G204" s="7" t="s">
        <v>279</v>
      </c>
      <c r="H204" s="1"/>
      <c r="I204" s="1"/>
      <c r="J204" s="1"/>
      <c r="K204" s="1"/>
      <c r="L204" s="3"/>
      <c r="M204" s="5">
        <v>0</v>
      </c>
      <c r="N204" s="6">
        <f>IFERROR(Tabla1[[#This Row],[COSTO NETO]]/(1-Tabla1[[#This Row],[MARGEN]]),Tabla1[[#This Row],[COSTO NETO]])</f>
        <v>0</v>
      </c>
    </row>
    <row r="205" spans="1:14" x14ac:dyDescent="0.25">
      <c r="A205" s="1">
        <v>236003</v>
      </c>
      <c r="B205" t="s">
        <v>140</v>
      </c>
      <c r="C205" s="1" t="e" cm="1">
        <f t="array" aca="1" ref="C205" ca="1">_xlfn.LET(
_xlpm.texto,B205,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5" s="1" t="e" cm="1">
        <f t="array" aca="1" ref="D205" ca="1">_xlfn.LET(
_xlpm.texto,B205,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5" s="1" t="s">
        <v>237</v>
      </c>
      <c r="F205" s="1"/>
      <c r="G205" s="7" t="s">
        <v>279</v>
      </c>
      <c r="H205" s="1"/>
      <c r="I205" s="1"/>
      <c r="J205" s="1"/>
      <c r="K205" s="1"/>
      <c r="L205" s="3"/>
      <c r="M205" s="5">
        <v>0</v>
      </c>
      <c r="N205" s="6">
        <f>IFERROR(Tabla1[[#This Row],[COSTO NETO]]/(1-Tabla1[[#This Row],[MARGEN]]),Tabla1[[#This Row],[COSTO NETO]])</f>
        <v>0</v>
      </c>
    </row>
    <row r="206" spans="1:14" x14ac:dyDescent="0.25">
      <c r="A206" s="1">
        <v>236004</v>
      </c>
      <c r="B206" t="s">
        <v>177</v>
      </c>
      <c r="C206" s="1" t="e" cm="1">
        <f t="array" aca="1" ref="C206" ca="1">_xlfn.LET(
_xlpm.texto,B206,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6" s="1" t="e" cm="1">
        <f t="array" aca="1" ref="D206" ca="1">_xlfn.LET(
_xlpm.texto,B206,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6" s="1" t="s">
        <v>237</v>
      </c>
      <c r="F206" s="1"/>
      <c r="G206" s="7" t="s">
        <v>279</v>
      </c>
      <c r="H206" s="1"/>
      <c r="I206" s="1"/>
      <c r="J206" s="1"/>
      <c r="K206" s="1"/>
      <c r="L206" s="3"/>
      <c r="M206" s="5">
        <v>0</v>
      </c>
      <c r="N206" s="6">
        <f>IFERROR(Tabla1[[#This Row],[COSTO NETO]]/(1-Tabla1[[#This Row],[MARGEN]]),Tabla1[[#This Row],[COSTO NETO]])</f>
        <v>0</v>
      </c>
    </row>
    <row r="207" spans="1:14" x14ac:dyDescent="0.25">
      <c r="A207" s="1">
        <v>236005</v>
      </c>
      <c r="B207" t="s">
        <v>141</v>
      </c>
      <c r="C207" s="1" t="e" cm="1">
        <f t="array" aca="1" ref="C207" ca="1">_xlfn.LET(
_xlpm.texto,B207,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7" s="1" t="e" cm="1">
        <f t="array" aca="1" ref="D207" ca="1">_xlfn.LET(
_xlpm.texto,B207,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7" s="1" t="s">
        <v>237</v>
      </c>
      <c r="F207" s="1"/>
      <c r="G207" s="7" t="s">
        <v>279</v>
      </c>
      <c r="H207" s="1"/>
      <c r="I207" s="1"/>
      <c r="J207" s="1"/>
      <c r="K207" s="1"/>
      <c r="L207" s="3"/>
      <c r="M207" s="5">
        <v>0</v>
      </c>
      <c r="N207" s="6">
        <f>IFERROR(Tabla1[[#This Row],[COSTO NETO]]/(1-Tabla1[[#This Row],[MARGEN]]),Tabla1[[#This Row],[COSTO NETO]])</f>
        <v>0</v>
      </c>
    </row>
    <row r="208" spans="1:14" x14ac:dyDescent="0.25">
      <c r="A208" s="1">
        <v>236006</v>
      </c>
      <c r="B208" t="s">
        <v>170</v>
      </c>
      <c r="C208" s="1" t="e" cm="1">
        <f t="array" aca="1" ref="C208" ca="1">_xlfn.LET(
_xlpm.texto,B208,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8" s="1" t="e" cm="1">
        <f t="array" aca="1" ref="D208" ca="1">_xlfn.LET(
_xlpm.texto,B208,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8" s="1" t="s">
        <v>237</v>
      </c>
      <c r="F208" s="1"/>
      <c r="G208" s="7" t="s">
        <v>279</v>
      </c>
      <c r="H208" s="1"/>
      <c r="I208" s="1"/>
      <c r="J208" s="1"/>
      <c r="K208" s="1"/>
      <c r="L208" s="3"/>
      <c r="M208" s="5">
        <v>0</v>
      </c>
      <c r="N208" s="6">
        <f>IFERROR(Tabla1[[#This Row],[COSTO NETO]]/(1-Tabla1[[#This Row],[MARGEN]]),Tabla1[[#This Row],[COSTO NETO]])</f>
        <v>0</v>
      </c>
    </row>
    <row r="209" spans="1:14" x14ac:dyDescent="0.25">
      <c r="A209" s="1">
        <v>236007</v>
      </c>
      <c r="B209" t="s">
        <v>168</v>
      </c>
      <c r="C209" s="1" t="e" cm="1">
        <f t="array" aca="1" ref="C209" ca="1">_xlfn.LET(
_xlpm.texto,B209,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09" s="1" t="e" cm="1">
        <f t="array" aca="1" ref="D209" ca="1">_xlfn.LET(
_xlpm.texto,B209,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09" s="1" t="s">
        <v>237</v>
      </c>
      <c r="F209" s="1"/>
      <c r="G209" s="7" t="s">
        <v>279</v>
      </c>
      <c r="H209" s="1"/>
      <c r="I209" s="1"/>
      <c r="J209" s="1"/>
      <c r="K209" s="1"/>
      <c r="L209" s="3"/>
      <c r="M209" s="5">
        <v>0</v>
      </c>
      <c r="N209" s="6">
        <f>IFERROR(Tabla1[[#This Row],[COSTO NETO]]/(1-Tabla1[[#This Row],[MARGEN]]),Tabla1[[#This Row],[COSTO NETO]])</f>
        <v>0</v>
      </c>
    </row>
    <row r="210" spans="1:14" x14ac:dyDescent="0.25">
      <c r="A210" s="1">
        <v>236008</v>
      </c>
      <c r="B210" t="s">
        <v>142</v>
      </c>
      <c r="C210" s="1" t="e" cm="1">
        <f t="array" aca="1" ref="C210" ca="1">_xlfn.LET(
_xlpm.texto,B210,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0" s="1" t="e" cm="1">
        <f t="array" aca="1" ref="D210" ca="1">_xlfn.LET(
_xlpm.texto,B210,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0" s="1" t="s">
        <v>237</v>
      </c>
      <c r="F210" s="1"/>
      <c r="G210" s="7" t="s">
        <v>283</v>
      </c>
      <c r="H210" s="1"/>
      <c r="I210" s="1"/>
      <c r="J210" s="1"/>
      <c r="K210" s="1"/>
      <c r="L210" s="3"/>
      <c r="M210" s="5">
        <v>0</v>
      </c>
      <c r="N210" s="6">
        <f>IFERROR(Tabla1[[#This Row],[COSTO NETO]]/(1-Tabla1[[#This Row],[MARGEN]]),Tabla1[[#This Row],[COSTO NETO]])</f>
        <v>0</v>
      </c>
    </row>
    <row r="211" spans="1:14" x14ac:dyDescent="0.25">
      <c r="A211" s="1">
        <v>236009</v>
      </c>
      <c r="B211" t="s">
        <v>175</v>
      </c>
      <c r="C211" s="1" t="e" cm="1">
        <f t="array" aca="1" ref="C211" ca="1">_xlfn.LET(
_xlpm.texto,B211,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1" s="1" t="e" cm="1">
        <f t="array" aca="1" ref="D211" ca="1">_xlfn.LET(
_xlpm.texto,B211,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1" s="1" t="s">
        <v>237</v>
      </c>
      <c r="F211" s="1"/>
      <c r="G211" s="7" t="s">
        <v>283</v>
      </c>
      <c r="H211" s="1"/>
      <c r="I211" s="1"/>
      <c r="J211" s="1"/>
      <c r="K211" s="1"/>
      <c r="L211" s="3"/>
      <c r="M211" s="5">
        <v>0</v>
      </c>
      <c r="N211" s="6">
        <f>IFERROR(Tabla1[[#This Row],[COSTO NETO]]/(1-Tabla1[[#This Row],[MARGEN]]),Tabla1[[#This Row],[COSTO NETO]])</f>
        <v>0</v>
      </c>
    </row>
    <row r="212" spans="1:14" x14ac:dyDescent="0.25">
      <c r="A212" s="1">
        <v>236010</v>
      </c>
      <c r="B212" t="s">
        <v>143</v>
      </c>
      <c r="C212" s="1" t="e" cm="1">
        <f t="array" aca="1" ref="C212" ca="1">_xlfn.LET(
_xlpm.texto,B212,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2" s="1" t="e" cm="1">
        <f t="array" aca="1" ref="D212" ca="1">_xlfn.LET(
_xlpm.texto,B212,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2" s="1" t="s">
        <v>237</v>
      </c>
      <c r="F212" s="1"/>
      <c r="G212" s="7" t="s">
        <v>283</v>
      </c>
      <c r="H212" s="1"/>
      <c r="I212" s="1"/>
      <c r="J212" s="1"/>
      <c r="K212" s="1"/>
      <c r="L212" s="3"/>
      <c r="M212" s="5">
        <v>0</v>
      </c>
      <c r="N212" s="6">
        <f>IFERROR(Tabla1[[#This Row],[COSTO NETO]]/(1-Tabla1[[#This Row],[MARGEN]]),Tabla1[[#This Row],[COSTO NETO]])</f>
        <v>0</v>
      </c>
    </row>
    <row r="213" spans="1:14" x14ac:dyDescent="0.25">
      <c r="A213" s="1">
        <v>236011</v>
      </c>
      <c r="B213" t="s">
        <v>144</v>
      </c>
      <c r="C213" s="1" t="e" cm="1">
        <f t="array" aca="1" ref="C213" ca="1">_xlfn.LET(
_xlpm.texto,B213,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3" s="1" t="e" cm="1">
        <f t="array" aca="1" ref="D213" ca="1">_xlfn.LET(
_xlpm.texto,B213,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3" s="1" t="s">
        <v>237</v>
      </c>
      <c r="F213" s="1"/>
      <c r="G213" s="7" t="s">
        <v>283</v>
      </c>
      <c r="H213" s="1"/>
      <c r="I213" s="1"/>
      <c r="J213" s="1"/>
      <c r="K213" s="1"/>
      <c r="L213" s="3"/>
      <c r="M213" s="5">
        <v>0</v>
      </c>
      <c r="N213" s="6">
        <f>IFERROR(Tabla1[[#This Row],[COSTO NETO]]/(1-Tabla1[[#This Row],[MARGEN]]),Tabla1[[#This Row],[COSTO NETO]])</f>
        <v>0</v>
      </c>
    </row>
    <row r="214" spans="1:14" x14ac:dyDescent="0.25">
      <c r="A214" s="1">
        <v>237001</v>
      </c>
      <c r="B214" t="s">
        <v>145</v>
      </c>
      <c r="C214" s="1" t="e" cm="1">
        <f t="array" aca="1" ref="C214" ca="1">_xlfn.LET(
_xlpm.texto,B214,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4" s="1" t="e" cm="1">
        <f t="array" aca="1" ref="D214" ca="1">_xlfn.LET(
_xlpm.texto,B214,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4" s="1" t="s">
        <v>233</v>
      </c>
      <c r="F214" s="1"/>
      <c r="G214" s="7" t="s">
        <v>279</v>
      </c>
      <c r="H214" s="1"/>
      <c r="I214" s="1"/>
      <c r="J214" s="1"/>
      <c r="K214" s="1"/>
      <c r="L214" s="3"/>
      <c r="M214" s="5">
        <v>0.21442622950819668</v>
      </c>
      <c r="N214" s="6">
        <f>IFERROR(Tabla1[[#This Row],[COSTO NETO]]/(1-Tabla1[[#This Row],[MARGEN]]),Tabla1[[#This Row],[COSTO NETO]])</f>
        <v>0</v>
      </c>
    </row>
    <row r="215" spans="1:14" x14ac:dyDescent="0.25">
      <c r="A215" s="1">
        <v>237002</v>
      </c>
      <c r="B215" t="s">
        <v>146</v>
      </c>
      <c r="C215" s="1" t="e" cm="1">
        <f t="array" aca="1" ref="C215" ca="1">_xlfn.LET(
_xlpm.texto,B215,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5" s="1" t="e" cm="1">
        <f t="array" aca="1" ref="D215" ca="1">_xlfn.LET(
_xlpm.texto,B215,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5" s="1" t="s">
        <v>233</v>
      </c>
      <c r="F215" s="1"/>
      <c r="G215" s="7" t="s">
        <v>279</v>
      </c>
      <c r="H215" s="1"/>
      <c r="I215" s="1"/>
      <c r="J215" s="1"/>
      <c r="K215" s="1"/>
      <c r="L215" s="3"/>
      <c r="M215" s="5">
        <v>0.22029520295202953</v>
      </c>
      <c r="N215" s="6">
        <f>IFERROR(Tabla1[[#This Row],[COSTO NETO]]/(1-Tabla1[[#This Row],[MARGEN]]),Tabla1[[#This Row],[COSTO NETO]])</f>
        <v>0</v>
      </c>
    </row>
    <row r="216" spans="1:14" x14ac:dyDescent="0.25">
      <c r="A216" s="1">
        <v>237003</v>
      </c>
      <c r="B216" t="s">
        <v>210</v>
      </c>
      <c r="C216" s="1" t="e" cm="1">
        <f t="array" aca="1" ref="C216" ca="1">_xlfn.LET(
_xlpm.texto,B216,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6" s="1" t="e" cm="1">
        <f t="array" aca="1" ref="D216" ca="1">_xlfn.LET(
_xlpm.texto,B216,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6" s="1" t="s">
        <v>233</v>
      </c>
      <c r="F216" s="1"/>
      <c r="G216" s="7" t="s">
        <v>279</v>
      </c>
      <c r="H216" s="1"/>
      <c r="I216" s="1"/>
      <c r="J216" s="1"/>
      <c r="K216" s="1"/>
      <c r="L216" s="3"/>
      <c r="M216" s="5">
        <v>0.21517241379310348</v>
      </c>
      <c r="N216" s="6">
        <f>IFERROR(Tabla1[[#This Row],[COSTO NETO]]/(1-Tabla1[[#This Row],[MARGEN]]),Tabla1[[#This Row],[COSTO NETO]])</f>
        <v>0</v>
      </c>
    </row>
    <row r="217" spans="1:14" x14ac:dyDescent="0.25">
      <c r="A217" s="1">
        <v>237004</v>
      </c>
      <c r="B217" t="s">
        <v>185</v>
      </c>
      <c r="C217" s="1" t="e" cm="1">
        <f t="array" aca="1" ref="C217" ca="1">_xlfn.LET(
_xlpm.texto,B217,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7" s="1" t="e" cm="1">
        <f t="array" aca="1" ref="D217" ca="1">_xlfn.LET(
_xlpm.texto,B217,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7" s="1" t="s">
        <v>240</v>
      </c>
      <c r="F217" s="1"/>
      <c r="G217" s="7" t="s">
        <v>279</v>
      </c>
      <c r="H217" s="1"/>
      <c r="I217" s="2" t="s">
        <v>261</v>
      </c>
      <c r="J217" s="1"/>
      <c r="K217" s="1"/>
      <c r="L217" s="3"/>
      <c r="M217" s="5">
        <v>0.20781093975368914</v>
      </c>
      <c r="N217" s="6">
        <f>IFERROR(Tabla1[[#This Row],[COSTO NETO]]/(1-Tabla1[[#This Row],[MARGEN]]),Tabla1[[#This Row],[COSTO NETO]])</f>
        <v>0</v>
      </c>
    </row>
    <row r="218" spans="1:14" x14ac:dyDescent="0.25">
      <c r="A218" s="1">
        <v>241001</v>
      </c>
      <c r="B218" t="s">
        <v>277</v>
      </c>
      <c r="C218" s="1" t="e" cm="1">
        <f t="array" aca="1" ref="C218" ca="1">_xlfn.LET(
_xlpm.texto,B218,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8" s="1" t="e" cm="1">
        <f t="array" aca="1" ref="D218" ca="1">_xlfn.LET(
_xlpm.texto,B218,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8" s="1" t="s">
        <v>234</v>
      </c>
      <c r="F218" s="1"/>
      <c r="G218" s="7" t="s">
        <v>279</v>
      </c>
      <c r="H218" s="1"/>
      <c r="I218" s="1"/>
      <c r="J218" s="1"/>
      <c r="K218" s="1" t="s">
        <v>272</v>
      </c>
      <c r="L218" s="3"/>
      <c r="M218" s="5">
        <v>0</v>
      </c>
      <c r="N218" s="6">
        <f>IFERROR(Tabla1[[#This Row],[COSTO NETO]]/(1-Tabla1[[#This Row],[MARGEN]]),Tabla1[[#This Row],[COSTO NETO]])</f>
        <v>0</v>
      </c>
    </row>
    <row r="219" spans="1:14" x14ac:dyDescent="0.25">
      <c r="A219" s="1">
        <v>259001</v>
      </c>
      <c r="B219" t="str">
        <f>UPPER("Hamburguesa Vacuno King Kong 185 Gr (40 unidades por caja)")</f>
        <v>HAMBURGUESA VACUNO KING KONG 185 GR (40 UNIDADES POR CAJA)</v>
      </c>
      <c r="C219" s="1" t="e" cm="1">
        <f t="array" aca="1" ref="C219" ca="1">_xlfn.LET(
_xlpm.texto,B219,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19" s="1" t="e" cm="1">
        <f t="array" aca="1" ref="D219" ca="1">_xlfn.LET(
_xlpm.texto,B219,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19" s="1" t="s">
        <v>230</v>
      </c>
      <c r="F219" s="1"/>
      <c r="G219" s="7" t="s">
        <v>283</v>
      </c>
      <c r="H219" s="1"/>
      <c r="I219" s="1"/>
      <c r="J219" s="1"/>
      <c r="K219" s="1"/>
      <c r="L219" s="3"/>
      <c r="M219" s="5">
        <v>0</v>
      </c>
      <c r="N219" s="6">
        <f>IFERROR(Tabla1[[#This Row],[COSTO NETO]]/(1-Tabla1[[#This Row],[MARGEN]]),Tabla1[[#This Row],[COSTO NETO]])</f>
        <v>0</v>
      </c>
    </row>
    <row r="220" spans="1:14" x14ac:dyDescent="0.25">
      <c r="A220" s="1">
        <v>259002</v>
      </c>
      <c r="B220" t="s">
        <v>147</v>
      </c>
      <c r="C220" s="1" t="e" cm="1">
        <f t="array" aca="1" ref="C220" ca="1">_xlfn.LET(
_xlpm.texto,B220,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0" s="1" t="e" cm="1">
        <f t="array" aca="1" ref="D220" ca="1">_xlfn.LET(
_xlpm.texto,B220,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0" s="1" t="s">
        <v>230</v>
      </c>
      <c r="F220" s="1"/>
      <c r="G220" s="7" t="s">
        <v>283</v>
      </c>
      <c r="H220" s="1"/>
      <c r="I220" s="1"/>
      <c r="J220" s="1"/>
      <c r="K220" s="1"/>
      <c r="L220" s="3"/>
      <c r="M220" s="5">
        <v>0</v>
      </c>
      <c r="N220" s="6">
        <f>IFERROR(Tabla1[[#This Row],[COSTO NETO]]/(1-Tabla1[[#This Row],[MARGEN]]),Tabla1[[#This Row],[COSTO NETO]])</f>
        <v>0</v>
      </c>
    </row>
    <row r="221" spans="1:14" x14ac:dyDescent="0.25">
      <c r="A221" s="1">
        <v>261004</v>
      </c>
      <c r="B221" t="s">
        <v>148</v>
      </c>
      <c r="C221" s="1" t="e" cm="1">
        <f t="array" aca="1" ref="C221" ca="1">_xlfn.LET(
_xlpm.texto,B221,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1" s="1" t="e" cm="1">
        <f t="array" aca="1" ref="D221" ca="1">_xlfn.LET(
_xlpm.texto,B221,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1" s="1" t="s">
        <v>245</v>
      </c>
      <c r="F221" s="1"/>
      <c r="G221" s="7" t="s">
        <v>283</v>
      </c>
      <c r="H221" s="1"/>
      <c r="I221" s="1"/>
      <c r="J221" s="1" t="s">
        <v>271</v>
      </c>
      <c r="K221" s="1"/>
      <c r="L221" s="3"/>
      <c r="M221" s="5">
        <v>0</v>
      </c>
      <c r="N221" s="6">
        <f>IFERROR(Tabla1[[#This Row],[COSTO NETO]]/(1-Tabla1[[#This Row],[MARGEN]]),Tabla1[[#This Row],[COSTO NETO]])</f>
        <v>0</v>
      </c>
    </row>
    <row r="222" spans="1:14" x14ac:dyDescent="0.25">
      <c r="A222" s="1">
        <v>261005</v>
      </c>
      <c r="B222" t="s">
        <v>149</v>
      </c>
      <c r="C222" s="1" t="e" cm="1">
        <f t="array" aca="1" ref="C222" ca="1">_xlfn.LET(
_xlpm.texto,B222,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2" s="1" t="e" cm="1">
        <f t="array" aca="1" ref="D222" ca="1">_xlfn.LET(
_xlpm.texto,B222,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2" s="1" t="s">
        <v>245</v>
      </c>
      <c r="F222" s="1"/>
      <c r="G222" s="7" t="s">
        <v>283</v>
      </c>
      <c r="H222" s="1"/>
      <c r="I222" s="1"/>
      <c r="J222" s="1" t="s">
        <v>271</v>
      </c>
      <c r="K222" s="1"/>
      <c r="L222" s="3"/>
      <c r="M222" s="5">
        <v>0</v>
      </c>
      <c r="N222" s="6">
        <f>IFERROR(Tabla1[[#This Row],[COSTO NETO]]/(1-Tabla1[[#This Row],[MARGEN]]),Tabla1[[#This Row],[COSTO NETO]])</f>
        <v>0</v>
      </c>
    </row>
    <row r="223" spans="1:14" x14ac:dyDescent="0.25">
      <c r="A223" s="1">
        <v>261006</v>
      </c>
      <c r="B223" t="s">
        <v>284</v>
      </c>
      <c r="C223" s="1" t="e" cm="1">
        <f t="array" aca="1" ref="C223" ca="1">_xlfn.LET(
_xlpm.texto,B223,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3" s="1" t="e" cm="1">
        <f t="array" aca="1" ref="D223" ca="1">_xlfn.LET(
_xlpm.texto,B223,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3" s="1" t="s">
        <v>245</v>
      </c>
      <c r="F223" s="1"/>
      <c r="G223" s="7" t="s">
        <v>283</v>
      </c>
      <c r="H223" s="1" t="s">
        <v>280</v>
      </c>
      <c r="I223" s="1"/>
      <c r="J223" s="1" t="s">
        <v>271</v>
      </c>
      <c r="K223" s="1"/>
      <c r="L223" s="3">
        <v>16560</v>
      </c>
      <c r="M223" s="5">
        <v>0</v>
      </c>
      <c r="N223" s="6">
        <f>IFERROR(Tabla1[[#This Row],[COSTO NETO]]/(1-Tabla1[[#This Row],[MARGEN]]),Tabla1[[#This Row],[COSTO NETO]])</f>
        <v>16560</v>
      </c>
    </row>
    <row r="224" spans="1:14" x14ac:dyDescent="0.25">
      <c r="A224" s="1">
        <v>265001</v>
      </c>
      <c r="B224" t="s">
        <v>150</v>
      </c>
      <c r="C224" s="1" t="e" cm="1">
        <f t="array" aca="1" ref="C224" ca="1">_xlfn.LET(
_xlpm.texto,B224,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4" s="1" t="e" cm="1">
        <f t="array" aca="1" ref="D224" ca="1">_xlfn.LET(
_xlpm.texto,B224,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4" s="1" t="s">
        <v>249</v>
      </c>
      <c r="F224" s="1"/>
      <c r="G224" s="7" t="s">
        <v>283</v>
      </c>
      <c r="H224" s="1"/>
      <c r="I224" s="1"/>
      <c r="J224" s="1" t="s">
        <v>266</v>
      </c>
      <c r="K224" s="1"/>
      <c r="L224" s="3"/>
      <c r="M224" s="5">
        <v>0</v>
      </c>
      <c r="N224" s="6">
        <f>IFERROR(Tabla1[[#This Row],[COSTO NETO]]/(1-Tabla1[[#This Row],[MARGEN]]),Tabla1[[#This Row],[COSTO NETO]])</f>
        <v>0</v>
      </c>
    </row>
    <row r="225" spans="1:14" x14ac:dyDescent="0.25">
      <c r="A225" s="1">
        <v>271002</v>
      </c>
      <c r="B225" t="s">
        <v>151</v>
      </c>
      <c r="C225" s="1" t="e" cm="1">
        <f t="array" aca="1" ref="C225" ca="1">_xlfn.LET(
_xlpm.texto,B225,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5" s="1" t="e" cm="1">
        <f t="array" aca="1" ref="D225" ca="1">_xlfn.LET(
_xlpm.texto,B225,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5" s="1" t="s">
        <v>263</v>
      </c>
      <c r="F225" s="1"/>
      <c r="G225" s="7" t="s">
        <v>279</v>
      </c>
      <c r="H225" s="1"/>
      <c r="I225" s="1"/>
      <c r="J225" s="1"/>
      <c r="K225" s="1"/>
      <c r="L225" s="3"/>
      <c r="M225" s="5">
        <v>0.17</v>
      </c>
      <c r="N225" s="6">
        <f>IFERROR(Tabla1[[#This Row],[COSTO NETO]]/(1-Tabla1[[#This Row],[MARGEN]]),Tabla1[[#This Row],[COSTO NETO]])</f>
        <v>0</v>
      </c>
    </row>
    <row r="226" spans="1:14" x14ac:dyDescent="0.25">
      <c r="A226" s="1">
        <v>276001</v>
      </c>
      <c r="B226" t="s">
        <v>152</v>
      </c>
      <c r="C226" s="1" t="e" cm="1">
        <f t="array" aca="1" ref="C226" ca="1">_xlfn.LET(
_xlpm.texto,B226,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6" s="1" t="e" cm="1">
        <f t="array" aca="1" ref="D226" ca="1">_xlfn.LET(
_xlpm.texto,B226,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6" s="1" t="s">
        <v>242</v>
      </c>
      <c r="F226" s="1"/>
      <c r="G226" s="7" t="s">
        <v>279</v>
      </c>
      <c r="H226" s="1"/>
      <c r="I226" s="1"/>
      <c r="J226" s="1"/>
      <c r="K226" s="1"/>
      <c r="L226" s="3"/>
      <c r="M226" s="5">
        <v>0</v>
      </c>
      <c r="N226" s="6">
        <f>IFERROR(Tabla1[[#This Row],[COSTO NETO]]/(1-Tabla1[[#This Row],[MARGEN]]),Tabla1[[#This Row],[COSTO NETO]])</f>
        <v>0</v>
      </c>
    </row>
    <row r="227" spans="1:14" x14ac:dyDescent="0.25">
      <c r="A227" s="1">
        <v>301001</v>
      </c>
      <c r="B227" t="s">
        <v>153</v>
      </c>
      <c r="C227" s="1" t="e" cm="1">
        <f t="array" aca="1" ref="C227" ca="1">_xlfn.LET(
_xlpm.texto,B227,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7" s="1" t="e" cm="1">
        <f t="array" aca="1" ref="D227" ca="1">_xlfn.LET(
_xlpm.texto,B227,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7" s="1" t="s">
        <v>165</v>
      </c>
      <c r="F227" s="1"/>
      <c r="G227" s="7" t="s">
        <v>283</v>
      </c>
      <c r="H227" s="1"/>
      <c r="I227" s="1"/>
      <c r="J227" s="1" t="s">
        <v>289</v>
      </c>
      <c r="K227" s="1"/>
      <c r="L227" s="3">
        <v>1126800</v>
      </c>
      <c r="M227" s="5">
        <v>0</v>
      </c>
      <c r="N227" s="6">
        <f>IFERROR(Tabla1[[#This Row],[COSTO NETO]]/(1-Tabla1[[#This Row],[MARGEN]]),Tabla1[[#This Row],[COSTO NETO]])</f>
        <v>1126800</v>
      </c>
    </row>
    <row r="228" spans="1:14" x14ac:dyDescent="0.25">
      <c r="A228" s="1">
        <v>312001</v>
      </c>
      <c r="B228" t="s">
        <v>227</v>
      </c>
      <c r="C228" s="1" t="e" cm="1">
        <f t="array" aca="1" ref="C228" ca="1">_xlfn.LET(
_xlpm.texto,B228,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8" s="1" t="e" cm="1">
        <f t="array" aca="1" ref="D228" ca="1">_xlfn.LET(
_xlpm.texto,B228,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8" s="1" t="s">
        <v>233</v>
      </c>
      <c r="F228" s="1"/>
      <c r="G228" s="7" t="s">
        <v>283</v>
      </c>
      <c r="H228" s="1"/>
      <c r="I228" s="1"/>
      <c r="J228" s="1"/>
      <c r="K228" s="1"/>
      <c r="L228" s="3"/>
      <c r="M228" s="5">
        <v>0</v>
      </c>
      <c r="N228" s="6">
        <f>IFERROR(Tabla1[[#This Row],[COSTO NETO]]/(1-Tabla1[[#This Row],[MARGEN]]),Tabla1[[#This Row],[COSTO NETO]])</f>
        <v>0</v>
      </c>
    </row>
    <row r="229" spans="1:14" x14ac:dyDescent="0.25">
      <c r="A229" s="1">
        <v>313001</v>
      </c>
      <c r="B229" t="s">
        <v>154</v>
      </c>
      <c r="C229" s="1" t="e" cm="1">
        <f t="array" aca="1" ref="C229" ca="1">_xlfn.LET(
_xlpm.texto,B229,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29" s="1" t="e" cm="1">
        <f t="array" aca="1" ref="D229" ca="1">_xlfn.LET(
_xlpm.texto,B229,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29" s="1" t="s">
        <v>246</v>
      </c>
      <c r="F229" s="1"/>
      <c r="G229" s="7" t="s">
        <v>283</v>
      </c>
      <c r="H229" s="1"/>
      <c r="I229" s="1"/>
      <c r="J229" s="1"/>
      <c r="K229" s="1"/>
      <c r="L229" s="3"/>
      <c r="M229" s="5">
        <v>0</v>
      </c>
      <c r="N229" s="6">
        <f>IFERROR(Tabla1[[#This Row],[COSTO NETO]]/(1-Tabla1[[#This Row],[MARGEN]]),Tabla1[[#This Row],[COSTO NETO]])</f>
        <v>0</v>
      </c>
    </row>
    <row r="230" spans="1:14" x14ac:dyDescent="0.25">
      <c r="A230" s="1">
        <v>323001</v>
      </c>
      <c r="B230" t="s">
        <v>155</v>
      </c>
      <c r="C230" s="1" t="e" cm="1">
        <f t="array" aca="1" ref="C230" ca="1">_xlfn.LET(
_xlpm.texto,B230,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30" s="1" t="e" cm="1">
        <f t="array" aca="1" ref="D230" ca="1">_xlfn.LET(
_xlpm.texto,B230,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30" s="1" t="s">
        <v>249</v>
      </c>
      <c r="F230" s="1"/>
      <c r="G230" s="7" t="s">
        <v>283</v>
      </c>
      <c r="H230" s="1"/>
      <c r="I230" s="1"/>
      <c r="J230" s="1"/>
      <c r="K230" s="1"/>
      <c r="L230" s="3"/>
      <c r="M230" s="5">
        <v>0</v>
      </c>
      <c r="N230" s="6">
        <f>IFERROR(Tabla1[[#This Row],[COSTO NETO]]/(1-Tabla1[[#This Row],[MARGEN]]),Tabla1[[#This Row],[COSTO NETO]])</f>
        <v>0</v>
      </c>
    </row>
    <row r="231" spans="1:14" x14ac:dyDescent="0.25">
      <c r="A231" s="1">
        <v>328001</v>
      </c>
      <c r="B231" t="s">
        <v>209</v>
      </c>
      <c r="C231" s="1" t="e" cm="1">
        <f t="array" aca="1" ref="C231" ca="1">_xlfn.LET(
_xlpm.texto,B231,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31" s="1" t="e" cm="1">
        <f t="array" aca="1" ref="D231" ca="1">_xlfn.LET(
_xlpm.texto,B231,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31" s="1" t="s">
        <v>256</v>
      </c>
      <c r="F231" s="1" t="s">
        <v>244</v>
      </c>
      <c r="G231" s="7" t="s">
        <v>283</v>
      </c>
      <c r="H231" s="1"/>
      <c r="I231" s="1"/>
      <c r="J231" s="1"/>
      <c r="K231" s="1"/>
      <c r="L231" s="3"/>
      <c r="M231" s="5">
        <v>0</v>
      </c>
      <c r="N231" s="6">
        <f>IFERROR(Tabla1[[#This Row],[COSTO NETO]]/(1-Tabla1[[#This Row],[MARGEN]]),Tabla1[[#This Row],[COSTO NETO]])</f>
        <v>0</v>
      </c>
    </row>
    <row r="232" spans="1:14" x14ac:dyDescent="0.25">
      <c r="A232" s="1">
        <v>265003</v>
      </c>
      <c r="B232" t="s">
        <v>295</v>
      </c>
      <c r="C232" s="1" t="e" cm="1">
        <f t="array" aca="1" ref="C232" ca="1">_xlfn.LET(
_xlpm.texto,B232,
IF(
SUM(--ISNUMBER(SEARCH({"QUESO"},_xlpm.texto)))&gt;0,
"QUESO",
IF(
SUM(--ISNUMBER(SEARCH({"PEPPERONI";"JAMON SERRANO";"JAMON";"CECINAS"},_xlpm.texto)))&gt;0,
"FIAMBRE",
IF(
SUM(--ISNUMBER(SEARCH({"LECHE";"MANTEQUILLA";"CREMA"},_xlpm.texto)))&gt;0,
"LACTEO",
IF(
SUM(--ISNUMBER(SEARCH({"ACEITE DE OLIVA";"ACEITE VEGETAL";"ACEITE PARA FREIR"},_xlpm.texto)))&gt;0,
"ACEITE",
"ABARROTE"
)))))</f>
        <v>#NAME?</v>
      </c>
      <c r="D232" s="1" t="e" cm="1">
        <f t="array" aca="1" ref="D232" ca="1">_xlfn.LET(
_xlpm.texto,B232,
IF(
SUM(--ISNUMBER(SEARCH({"AZUL"},_xlpm.texto)))&gt;0,
"AZUL",
IF(
SUM(--ISNUMBER(SEARCH({"CAMEMBERT"},_xlpm.texto)))&gt;0,
"CAMEMEBERT",
IF(
SUM(--ISNUMBER(SEARCH({"EDAM"},_xlpm.texto)))&gt;0,
"EDAM",
IF(
SUM(--ISNUMBER(SEARCH({"MANTECOSO"},_xlpm.texto)))&gt;0,
"MANTECOSO",
IF(
SUM(--ISNUMBER(SEARCH({"RICOTTA"},_xlpm.texto)))&gt;0,
"RICOTTA",
IF(
SUM(--ISNUMBER(SEARCH({"BRIE"},_xlpm.texto)))&gt;0,
"BRIE",
IF(
SUM(--ISNUMBER(SEARCH({"QUESO CREMA"},_xlpm.texto)))&gt;0,
"CREMA",
IF(
SUM(--ISNUMBER(SEARCH({"ROQUEFORT"},_xlpm.texto)))&gt;0,
"ROQUEFORT",
IF(
SUM(--ISNUMBER(SEARCH({"TABLA DE QUESO"},_xlpm.texto)))&gt;0,
"TABLA DE QUESO",
IF(
SUM(--ISNUMBER(SEARCH({"CABRA"},_xlpm.texto)))&gt;0,
"CABRA",
IF(
SUM(--ISNUMBER(SEARCH({"CHEDDAR"},_xlpm.texto)))&gt;0,
"CHEDDAR",
IF(
SUM(--ISNUMBER(SEARCH({"GAUDA"},_xlpm.texto)))&gt;0,
"GAUDA",
IF(
SUM(--ISNUMBER(SEARCH({"PROVOLONE"},_xlpm.texto)))&gt;0,
"PROVOLONE",
IF(
SUM(--ISNUMBER(SEARCH({"PARMESANO"},_xlpm.texto)))&gt;0,
"PARMESANO",
IF(
SUM(--ISNUMBER(SEARCH({"MOZZARELLA"},_xlpm.texto)))&gt;0,
"MOZZARELLA",
IF(
SUM(--ISNUMBER(SEARCH({"PECORINO"},_xlpm.texto)))&gt;0,
"PECORINO",
IF(
SUM(--ISNUMBER(SEARCH({"EMMENTAL"},_xlpm.texto)))&gt;0,
"EMMENTAL",
IF(
SUM(--ISNUMBER(SEARCH({"GRUYERE"},_xlpm.texto)))&gt;0,
"GRUYERE",
IF(
SUM(--ISNUMBER(SEARCH({"QUESO IBERICO"},_xlpm.texto)))&gt;0,
"IBERICO",
IF(
SUM(--ISNUMBER(SEARCH({"MANCHEGO"},_xlpm.texto)))&gt;0,
"MANCHEGO",
IF(
SUM(--ISNUMBER(SEARCH({"PROVOLETA"},_xlpm.texto)))&gt;0,
"PROVOLETA",
IF(
SUM(--ISNUMBER(SEARCH({"REGGIANITO"},_xlpm.texto)))&gt;0,
"REGGIANITO",
IF(
SUM(--ISNUMBER(SEARCH({"PARMEGIANO"},_xlpm.texto)))&gt;0,
"PARMEGIANO",
IF(
SUM(--ISNUMBER(SEARCH({"RANCO"},_xlpm.texto)))&gt;0,
"RANCO",
IF(
SUM(--ISNUMBER(SEARCH({"DESPUNTE"},_xlpm.texto)))&gt;0,
"DESPUNTE",
IF(
SUM(--ISNUMBER(SEARCH({"CHANCO"},_xlpm.texto)))&gt;0,
"CHANCO",
IF(
SUM(--ISNUMBER(SEARCH({"GRANA"},_xlpm.texto)))&gt;0,
"GRANA",
IF(
SUM(--ISNUMBER(SEARCH({"PANCETA"},_xlpm.texto)))&gt;0,
"PANCETA",
IF(
SUM(--ISNUMBER(SEARCH({"ACEITE VEGETAL"},_xlpm.texto)))&gt;0,
"VEGETAL",
IF(
SUM(--ISNUMBER(SEARCH({"ACEITE DE OLIVA"},_xlpm.texto)))&gt;0,
"DE OLIVA",
IF(
SUM(--ISNUMBER(SEARCH({"ACEITE PARA FREIR"},_xlpm.texto)))&gt;0,
"PARA FREIR",
IF(
SUM(--ISNUMBER(SEARCH({"CREMA "},_xlpm.texto)))&gt;0,
"CREMA",
IF(
SUM(--ISNUMBER(SEARCH({"LECHE"},_xlpm.texto)))&gt;0,
"LECHE",
IF(
SUM(--ISNUMBER(SEARCH({"MANTEQUILLA"},_xlpm.texto)))&gt;0,
"MANTEQUILLA",
IF(
SUM(--ISNUMBER(SEARCH({"PEPPERONI"},_xlpm.texto)))&gt;0,
"PEPPERONI",
IF(
SUM(--ISNUMBER(SEARCH({"JAMON SERRANO"},_xlpm.texto)))&gt;0,
"JAMON SERRANO",
IF(
SUM(--ISNUMBER(SEARCH({"JAMON"},_xlpm.texto)))&gt;0,
"JAMON",
IF(
SUM(--ISNUMBER(SEARCH({"CECINA"},_xlpm.texto)))&gt;0,
"CECINAS",
IF(
SUM(--ISNUMBER(SEARCH({"ARROZ"},_xlpm.texto)))&gt;0,
"ARROZ",
IF(
SUM(--ISNUMBER(SEARCH({"ACEITUNA"},_xlpm.texto)))&gt;0,
"ACEITUNA",
IF(
SUM(--ISNUMBER(SEARCH({"PALMITO";"PALMITOS";"CHAMPIÑON";"AJI VERDE";"CEBOLLA MORADA";"MOSTAZA DULCE";"KETCHUP CLASICO";"TOMATE ITALIANO";"ACEITUNA";"ACEITUNAS";"PEPINO";"JUGO DE TOMATE"},_xlpm.texto)))&gt;0,
"CONSERVA",
IF(
SUM(--ISNUMBER(SEARCH({"SALAME"},_xlpm.texto)))&gt;0,
"SALAME",
IF(
SUM(--ISNUMBER(SEARCH({"PANCETA"},_xlpm.texto)))&gt;0,
"PANCETA",
IF(
SUM(--ISNUMBER(SEARCH({"TOCINO"},_xlpm.texto)))&gt;0,
"TOCINO",
IF(
SUM(--ISNUMBER(SEARCH({"HUEVOS"},_xlpm.texto)))&gt;0,
"HUEVOS",
IF(
SUM(--ISNUMBER(SEARCH({"ALGA NORI"},_xlpm.texto)))&gt;0,
"ALGA NORI",
IF(
SUM(--ISNUMBER(SEARCH({"PANKO"},_xlpm.texto)))&gt;0,
"PANKO",
IF(
SUM(--ISNUMBER(SEARCH({"MANJAR"},_xlpm.texto)))&gt;0,
"MANJAR",
IF(
SUM(--ISNUMBER(SEARCH({"SALSA BARBECUE";"MOSTAZA"},_xlpm.texto)))&gt;0,
"ADEREZOS",
IF(
SUM(--ISNUMBER(SEARCH({"AZUCAR"},_xlpm.texto)))&gt;0,
"AZUCAR",
IF(
SUM(--ISNUMBER(SEARCH({"SAL "},_xlpm.texto)))&gt;0,
"SAL",
IF(
SUM(--ISNUMBER(SEARCH({"PAPAS FRITAS"},_xlpm.texto)))&gt;0,
"PAPAS FRITAS",
IF(
SUM(--ISNUMBER(SEARCH({"COCA-COLA"},_xlpm.texto)))&gt;0,
"BEBIDAS",
IF(
SUM(--ISNUMBER(SEARCH({"SALSA SOYA"},_xlpm.texto)))&gt;0,
"SALSA SOYA",
IF(
SUM(--ISNUMBER(SEARCH({"ONCENTRADO DE TOMATE"},_xlpm.texto)))&gt;0,
"CONCENTRADO",
"OTROS"
))))))))))))))))))))))))))))))))))))))))))))))))))))))))</f>
        <v>#NAME?</v>
      </c>
      <c r="E232" s="1" t="s">
        <v>249</v>
      </c>
      <c r="F232" s="1"/>
      <c r="G232" s="7" t="e" cm="1">
        <f t="array" aca="1" ref="G232" ca="1">_xlfn.LET(
_xlpm.texto,B232,
IF(
SUM(--ISNUMBER(SEARCH({"CAJA"},_xlpm.texto)))&gt;0,
"CAJA",
"UNIDAD"
))</f>
        <v>#NAME?</v>
      </c>
      <c r="H232" s="1"/>
      <c r="I232" s="1"/>
      <c r="J232" s="1"/>
      <c r="K232" s="1"/>
      <c r="L232" s="3"/>
      <c r="M232" s="5"/>
      <c r="N232" s="6">
        <f>IFERROR(Tabla1[[#This Row],[COSTO NETO]]/(1-Tabla1[[#This Row],[MARGEN]]),Tabla1[[#This Row],[COSTO NETO]])</f>
        <v>0</v>
      </c>
    </row>
  </sheetData>
  <phoneticPr fontId="2" type="noConversion"/>
  <hyperlinks>
    <hyperlink ref="I60" r:id="rId1" xr:uid="{F0556740-E64C-461F-AC43-7C9523AFAAC7}"/>
    <hyperlink ref="I22" r:id="rId2" xr:uid="{43967B96-E42C-42BD-9215-2CF4B8643EFD}"/>
    <hyperlink ref="I49" r:id="rId3" xr:uid="{C8FFBAB3-1BDB-41C7-BB72-98E53581D5F6}"/>
    <hyperlink ref="I193" r:id="rId4" xr:uid="{70C588A1-C507-4488-B5DC-0AE6928CBADF}"/>
    <hyperlink ref="I194" r:id="rId5" xr:uid="{317A04E0-93AF-42DA-BC3B-AC16CC6FB023}"/>
    <hyperlink ref="I78" r:id="rId6" xr:uid="{348831DE-D621-40D8-A0C2-9C74E02327CD}"/>
    <hyperlink ref="I12" r:id="rId7" xr:uid="{FD5E74FC-7AB1-4D08-931B-DCE513710D9C}"/>
    <hyperlink ref="I13" r:id="rId8" xr:uid="{E1949A86-4FB2-4692-91CB-9802789F4FEB}"/>
    <hyperlink ref="I14" r:id="rId9" xr:uid="{D5F5C296-8E4B-4E69-A831-7140B825F0E2}"/>
    <hyperlink ref="I15" r:id="rId10" xr:uid="{BF0C683F-1032-4F29-981E-BE55EAB37CB9}"/>
    <hyperlink ref="I141" r:id="rId11" xr:uid="{693DBDB2-D69B-4395-9656-4E4E646601B6}"/>
    <hyperlink ref="I37" r:id="rId12" xr:uid="{73B6813D-D8B9-4A22-8B72-35B340C84807}"/>
    <hyperlink ref="I69" r:id="rId13" xr:uid="{3349D33C-0750-4203-9518-5635832C53EB}"/>
    <hyperlink ref="I36" r:id="rId14" xr:uid="{43756D24-74C3-448B-8D59-D8F63D844536}"/>
    <hyperlink ref="I188" r:id="rId15" xr:uid="{DE2E3ABD-1586-42DD-B858-20A06876B2CC}"/>
    <hyperlink ref="I161" r:id="rId16" xr:uid="{2929BED2-A183-49C0-AACA-FD6655476F1A}"/>
    <hyperlink ref="I159" r:id="rId17" xr:uid="{B44E64CC-CCB5-4260-8C30-11375819C1F1}"/>
    <hyperlink ref="I217" r:id="rId18" xr:uid="{58AF1705-875F-4663-89FC-7A3235D4FA15}"/>
    <hyperlink ref="I138" r:id="rId19" xr:uid="{257A6936-E1F3-46A2-B98E-0556DD1F123D}"/>
    <hyperlink ref="I139" r:id="rId20" xr:uid="{A85E8810-BC29-4142-A4D0-0FC99ABBCC74}"/>
    <hyperlink ref="I88" r:id="rId21" xr:uid="{7411B6B4-3FB5-430B-A730-0159A05CF5AE}"/>
    <hyperlink ref="I77" r:id="rId22" xr:uid="{B8DA700F-B13F-403C-97E5-1ABE7A4BA087}"/>
    <hyperlink ref="I170" r:id="rId23" xr:uid="{8EB1193C-580E-4958-8450-5785A1E97982}"/>
    <hyperlink ref="I154" r:id="rId24" xr:uid="{472F36AC-1C6F-45F0-B302-129BC8B7E103}"/>
    <hyperlink ref="I155" r:id="rId25" xr:uid="{CEF91215-27F3-4E02-B270-882C2302D65A}"/>
    <hyperlink ref="I56" r:id="rId26" xr:uid="{2C184F7C-B29D-45D6-AF61-AE55244C2895}"/>
    <hyperlink ref="I160" r:id="rId27" xr:uid="{9D3D9C86-9D70-4199-80A9-D8CF484036B2}"/>
    <hyperlink ref="I151" r:id="rId28" xr:uid="{E6627439-6F13-4E11-9699-05DA56122969}"/>
    <hyperlink ref="I152" r:id="rId29" xr:uid="{75B99D0F-F505-4C87-BE80-21A7D0FC50D5}"/>
    <hyperlink ref="I153" r:id="rId30" xr:uid="{DE46B02D-F428-401F-BA22-A1F8070C0642}"/>
    <hyperlink ref="I156" r:id="rId31" xr:uid="{2FFF0435-ABED-4611-AF3E-04D75E57C0F6}"/>
    <hyperlink ref="I157" r:id="rId32" xr:uid="{CC64BC1A-FF83-4CD1-989C-A3962ECFF162}"/>
    <hyperlink ref="I76" r:id="rId33" xr:uid="{4A29A383-E971-4FBC-BD63-9CE7660F3058}"/>
    <hyperlink ref="I164" r:id="rId34" xr:uid="{72F6BAAF-8F77-4AAE-B62C-AA4B82254F74}"/>
    <hyperlink ref="I102" r:id="rId35" xr:uid="{88BB32A2-D462-4EE3-8A69-95779750FA84}"/>
    <hyperlink ref="I103" r:id="rId36" xr:uid="{5F632645-4946-4FB2-BC87-76B33F1687F2}"/>
    <hyperlink ref="I172" r:id="rId37" xr:uid="{A73AD730-3B5B-4DF2-8641-27E50C79F098}"/>
    <hyperlink ref="I180" r:id="rId38" xr:uid="{EC41493D-90D9-46FB-8C80-CC2AA3CB3FA6}"/>
    <hyperlink ref="I186" r:id="rId39" xr:uid="{AB57FEEA-6E00-44D5-994C-74B8F07B0109}"/>
    <hyperlink ref="I165" r:id="rId40" xr:uid="{FE0B0180-F40F-45A7-A3DB-A813E94C8A73}"/>
    <hyperlink ref="I149" r:id="rId41" xr:uid="{461A8ACA-DDB9-49BF-8AD7-73D5E7718D4A}"/>
  </hyperlinks>
  <pageMargins left="0.7" right="0.7" top="0.75" bottom="0.75" header="0.3" footer="0.3"/>
  <ignoredErrors>
    <ignoredError sqref="G2:G231" calculatedColumn="1"/>
  </ignoredErrors>
  <tableParts count="1"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SKU_MAESTRO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Hernández</dc:creator>
  <cp:lastModifiedBy>Roberto Hernandez García</cp:lastModifiedBy>
  <dcterms:created xsi:type="dcterms:W3CDTF">2026-01-21T23:28:35Z</dcterms:created>
  <dcterms:modified xsi:type="dcterms:W3CDTF">2026-02-15T15:21:05Z</dcterms:modified>
</cp:coreProperties>
</file>